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4d69fca407a5bc/Dokumente/Studium/10. Semester/Marketing Analytics/Marketing-Analytics/Problem Set 4/"/>
    </mc:Choice>
  </mc:AlternateContent>
  <xr:revisionPtr revIDLastSave="365" documentId="11_AD4DB114E441178AC67DF43086D3CEA8693EDF18" xr6:coauthVersionLast="47" xr6:coauthVersionMax="47" xr10:uidLastSave="{CF8EDDF4-6EF5-42E4-A8E4-12BDE9C27486}"/>
  <bookViews>
    <workbookView xWindow="-108" yWindow="-108" windowWidth="23256" windowHeight="12456" firstSheet="1" activeTab="1" xr2:uid="{00000000-000D-0000-FFFF-FFFF00000000}"/>
  </bookViews>
  <sheets>
    <sheet name="Param_estimation" sheetId="1" r:id="rId1"/>
    <sheet name="practice_data_belgium_final" sheetId="2" r:id="rId2"/>
  </sheets>
  <definedNames>
    <definedName name="ExternalData_1" localSheetId="1" hidden="1">practice_data_belgium_final!$A$1:$L$121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91" i="2"/>
  <c r="N90" i="2"/>
  <c r="H4" i="1" a="1"/>
  <c r="H4" i="1" s="1"/>
  <c r="H3" i="1" a="1"/>
  <c r="H3" i="1" s="1"/>
  <c r="H5" i="1" s="1"/>
  <c r="H8" i="1" s="1"/>
  <c r="C7" i="1"/>
  <c r="D7" i="1" s="1"/>
  <c r="C6" i="1"/>
  <c r="D6" i="1" s="1"/>
  <c r="C5" i="1"/>
  <c r="D5" i="1" s="1"/>
  <c r="C4" i="1"/>
  <c r="D4" i="1" s="1"/>
  <c r="C3" i="1"/>
  <c r="H6" i="1" s="1"/>
  <c r="D64" i="1" l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C43" i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K46" i="1"/>
  <c r="H13" i="1"/>
  <c r="H14" i="1" s="1"/>
  <c r="J22" i="1"/>
  <c r="J23" i="1" s="1"/>
  <c r="J69" i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D43" i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J46" i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C22" i="1"/>
  <c r="C23" i="1" s="1"/>
  <c r="C24" i="1" s="1"/>
  <c r="C25" i="1" s="1"/>
  <c r="C26" i="1" s="1"/>
  <c r="D22" i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K22" i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7" i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J24" i="1"/>
  <c r="C27" i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D3" i="1"/>
  <c r="E3" i="1" s="1"/>
  <c r="E4" i="1"/>
  <c r="E5" i="1"/>
  <c r="E6" i="1"/>
  <c r="E7" i="1"/>
  <c r="H7" i="1"/>
  <c r="M117" i="2" s="1"/>
  <c r="J25" i="1" l="1"/>
  <c r="C40" i="1"/>
  <c r="C41" i="1" s="1"/>
  <c r="C42" i="1" s="1"/>
  <c r="M98" i="2"/>
  <c r="M109" i="2"/>
  <c r="M101" i="2"/>
  <c r="M108" i="2"/>
  <c r="M99" i="2"/>
  <c r="M105" i="2"/>
  <c r="M97" i="2"/>
  <c r="M116" i="2"/>
  <c r="M106" i="2"/>
  <c r="M112" i="2"/>
  <c r="M119" i="2"/>
  <c r="M100" i="2"/>
  <c r="M92" i="2"/>
  <c r="M111" i="2"/>
  <c r="M115" i="2"/>
  <c r="M121" i="2"/>
  <c r="M103" i="2"/>
  <c r="M107" i="2"/>
  <c r="M113" i="2"/>
  <c r="M93" i="2"/>
  <c r="M118" i="2"/>
  <c r="M110" i="2"/>
  <c r="M90" i="2"/>
  <c r="M95" i="2"/>
  <c r="M114" i="2"/>
  <c r="M120" i="2"/>
  <c r="M102" i="2"/>
  <c r="M96" i="2"/>
  <c r="M91" i="2"/>
  <c r="M104" i="2"/>
  <c r="M94" i="2"/>
  <c r="C15" i="1" a="1"/>
  <c r="C15" i="1" s="1"/>
  <c r="C14" i="1" a="1"/>
  <c r="C14" i="1" s="1"/>
  <c r="C13" i="1" a="1"/>
  <c r="C13" i="1" s="1"/>
  <c r="C12" i="1" a="1"/>
  <c r="C12" i="1" s="1"/>
  <c r="J26" i="1" l="1"/>
  <c r="D13" i="1"/>
  <c r="D15" i="1"/>
  <c r="D14" i="1"/>
  <c r="D12" i="1"/>
  <c r="M22" i="1" l="1"/>
  <c r="M23" i="1"/>
  <c r="M25" i="1"/>
  <c r="M26" i="1"/>
  <c r="M24" i="1"/>
  <c r="F28" i="1"/>
  <c r="F36" i="1"/>
  <c r="F44" i="1"/>
  <c r="F52" i="1"/>
  <c r="F60" i="1"/>
  <c r="F68" i="1"/>
  <c r="F76" i="1"/>
  <c r="F84" i="1"/>
  <c r="F29" i="1"/>
  <c r="F37" i="1"/>
  <c r="F53" i="1"/>
  <c r="F61" i="1"/>
  <c r="F77" i="1"/>
  <c r="F38" i="1"/>
  <c r="F39" i="1"/>
  <c r="F55" i="1"/>
  <c r="F71" i="1"/>
  <c r="F32" i="1"/>
  <c r="F48" i="1"/>
  <c r="F64" i="1"/>
  <c r="F25" i="1"/>
  <c r="F33" i="1"/>
  <c r="F41" i="1"/>
  <c r="F49" i="1"/>
  <c r="F57" i="1"/>
  <c r="F65" i="1"/>
  <c r="F73" i="1"/>
  <c r="F81" i="1"/>
  <c r="F26" i="1"/>
  <c r="F34" i="1"/>
  <c r="F42" i="1"/>
  <c r="F50" i="1"/>
  <c r="F58" i="1"/>
  <c r="F66" i="1"/>
  <c r="F74" i="1"/>
  <c r="F82" i="1"/>
  <c r="F72" i="1"/>
  <c r="F27" i="1"/>
  <c r="F35" i="1"/>
  <c r="F43" i="1"/>
  <c r="F51" i="1"/>
  <c r="F59" i="1"/>
  <c r="F67" i="1"/>
  <c r="F75" i="1"/>
  <c r="F83" i="1"/>
  <c r="F45" i="1"/>
  <c r="F69" i="1"/>
  <c r="F22" i="1"/>
  <c r="F30" i="1"/>
  <c r="F46" i="1"/>
  <c r="F54" i="1"/>
  <c r="F62" i="1"/>
  <c r="F70" i="1"/>
  <c r="F78" i="1"/>
  <c r="F23" i="1"/>
  <c r="F31" i="1"/>
  <c r="F47" i="1"/>
  <c r="F63" i="1"/>
  <c r="F79" i="1"/>
  <c r="F24" i="1"/>
  <c r="F40" i="1"/>
  <c r="F56" i="1"/>
  <c r="F80" i="1"/>
  <c r="M65" i="1"/>
  <c r="M64" i="1"/>
  <c r="M66" i="1"/>
  <c r="M46" i="1"/>
  <c r="M77" i="1"/>
  <c r="M69" i="1"/>
  <c r="M70" i="1"/>
  <c r="M78" i="1"/>
  <c r="M71" i="1"/>
  <c r="M79" i="1"/>
  <c r="M72" i="1"/>
  <c r="M73" i="1"/>
  <c r="M74" i="1"/>
  <c r="M82" i="1"/>
  <c r="M75" i="1"/>
  <c r="M83" i="1"/>
  <c r="M76" i="1"/>
  <c r="M84" i="1"/>
  <c r="M80" i="1"/>
  <c r="M81" i="1"/>
  <c r="M67" i="1"/>
  <c r="J27" i="1"/>
  <c r="M27" i="1" s="1"/>
  <c r="M68" i="1"/>
  <c r="M47" i="1"/>
  <c r="F86" i="1" l="1"/>
  <c r="J28" i="1"/>
  <c r="M28" i="1" s="1"/>
  <c r="M48" i="1"/>
  <c r="M49" i="1" l="1"/>
  <c r="J29" i="1"/>
  <c r="M29" i="1" s="1"/>
  <c r="M50" i="1" l="1"/>
  <c r="J30" i="1"/>
  <c r="M30" i="1" s="1"/>
  <c r="J31" i="1" l="1"/>
  <c r="M31" i="1" s="1"/>
  <c r="M51" i="1"/>
  <c r="M52" i="1" l="1"/>
  <c r="J32" i="1"/>
  <c r="M32" i="1" s="1"/>
  <c r="J33" i="1" l="1"/>
  <c r="M33" i="1" s="1"/>
  <c r="M53" i="1"/>
  <c r="J34" i="1" l="1"/>
  <c r="M34" i="1" s="1"/>
  <c r="M54" i="1"/>
  <c r="M55" i="1" l="1"/>
  <c r="J35" i="1"/>
  <c r="M35" i="1" s="1"/>
  <c r="J36" i="1" l="1"/>
  <c r="M36" i="1" s="1"/>
  <c r="M56" i="1"/>
  <c r="M57" i="1" l="1"/>
  <c r="J37" i="1"/>
  <c r="M37" i="1" s="1"/>
  <c r="J38" i="1" l="1"/>
  <c r="M38" i="1" s="1"/>
  <c r="M58" i="1"/>
  <c r="M59" i="1" l="1"/>
  <c r="J39" i="1"/>
  <c r="M39" i="1" s="1"/>
  <c r="J40" i="1" l="1"/>
  <c r="M40" i="1" s="1"/>
  <c r="M60" i="1"/>
  <c r="M61" i="1" l="1"/>
  <c r="J41" i="1"/>
  <c r="M41" i="1" s="1"/>
  <c r="M63" i="1" l="1"/>
  <c r="M62" i="1"/>
  <c r="J42" i="1"/>
  <c r="J43" i="1" l="1"/>
  <c r="M42" i="1"/>
  <c r="J44" i="1" l="1"/>
  <c r="M43" i="1"/>
  <c r="J45" i="1" l="1"/>
  <c r="M45" i="1" s="1"/>
  <c r="M44" i="1"/>
  <c r="M8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47183-6AA2-4FE3-B6B2-1DA88F080292}" keepAlive="1" name="Query - practice_data (3)" description="Connection to the 'practice_data (3)' query in the workbook." type="5" refreshedVersion="0" background="1" saveData="1">
    <dbPr connection="Provider=Microsoft.Mashup.OleDb.1;Data Source=$Workbook$;Location=&quot;practice_data (3)&quot;;Extended Properties=&quot;&quot;" command="SELECT * FROM [practice_data (3)]"/>
  </connection>
  <connection id="2" xr16:uid="{AB85186F-DF29-47E7-8693-10450A6533A8}" keepAlive="1" name="Query - practice_data_belgium_final" description="Connection to the 'practice_data_belgium_final' query in the workbook." type="5" refreshedVersion="8" background="1" saveData="1">
    <dbPr connection="Provider=Microsoft.Mashup.OleDb.1;Data Source=$Workbook$;Location=practice_data_belgium_final;Extended Properties=&quot;&quot;" command="SELECT * FROM [practice_data_belgium_fin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<sst xmlns="http://schemas.openxmlformats.org/spreadsheetml/2006/main" count="1622" uniqueCount="396">
  <si>
    <t>Stint</t>
  </si>
  <si>
    <t>Lap</t>
  </si>
  <si>
    <t>Rear Wing</t>
  </si>
  <si>
    <t>Front Wing</t>
  </si>
  <si>
    <t>Engine</t>
  </si>
  <si>
    <t>Brake</t>
  </si>
  <si>
    <t>Differential</t>
  </si>
  <si>
    <t>Suspension</t>
  </si>
  <si>
    <t>Fuel</t>
  </si>
  <si>
    <t>Tyre Remaining</t>
  </si>
  <si>
    <t>Tyre Choice</t>
  </si>
  <si>
    <t>Lap Time</t>
  </si>
  <si>
    <t>3</t>
  </si>
  <si>
    <t>1</t>
  </si>
  <si>
    <t>441</t>
  </si>
  <si>
    <t>477</t>
  </si>
  <si>
    <t>50</t>
  </si>
  <si>
    <t>175</t>
  </si>
  <si>
    <t>179</t>
  </si>
  <si>
    <t>72</t>
  </si>
  <si>
    <t>96.629586200873</t>
  </si>
  <si>
    <t>96.07645939696</t>
  </si>
  <si>
    <t>Soft</t>
  </si>
  <si>
    <t>101.83281085</t>
  </si>
  <si>
    <t>95</t>
  </si>
  <si>
    <t>38</t>
  </si>
  <si>
    <t>9</t>
  </si>
  <si>
    <t>20</t>
  </si>
  <si>
    <t>78</t>
  </si>
  <si>
    <t>15</t>
  </si>
  <si>
    <t>7</t>
  </si>
  <si>
    <t>68</t>
  </si>
  <si>
    <t>54</t>
  </si>
  <si>
    <t>6</t>
  </si>
  <si>
    <t>37</t>
  </si>
  <si>
    <t>64</t>
  </si>
  <si>
    <t>2</t>
  </si>
  <si>
    <t>99.98381085</t>
  </si>
  <si>
    <t>480</t>
  </si>
  <si>
    <t>282</t>
  </si>
  <si>
    <t>47</t>
  </si>
  <si>
    <t>461</t>
  </si>
  <si>
    <t>88</t>
  </si>
  <si>
    <t>103.46893225</t>
  </si>
  <si>
    <t>4</t>
  </si>
  <si>
    <t>104.54093225</t>
  </si>
  <si>
    <t>5</t>
  </si>
  <si>
    <t>482</t>
  </si>
  <si>
    <t>438</t>
  </si>
  <si>
    <t>109</t>
  </si>
  <si>
    <t>435</t>
  </si>
  <si>
    <t>62</t>
  </si>
  <si>
    <t>75</t>
  </si>
  <si>
    <t>103.99743225</t>
  </si>
  <si>
    <t>102.87943225</t>
  </si>
  <si>
    <t>399</t>
  </si>
  <si>
    <t>311</t>
  </si>
  <si>
    <t>16</t>
  </si>
  <si>
    <t>106</t>
  </si>
  <si>
    <t>46</t>
  </si>
  <si>
    <t>105.04853225</t>
  </si>
  <si>
    <t>8</t>
  </si>
  <si>
    <t>104.87953225</t>
  </si>
  <si>
    <t>380</t>
  </si>
  <si>
    <t>228</t>
  </si>
  <si>
    <t>100</t>
  </si>
  <si>
    <t>136</t>
  </si>
  <si>
    <t>93</t>
  </si>
  <si>
    <t>104.18695125</t>
  </si>
  <si>
    <t>10</t>
  </si>
  <si>
    <t>103.78395125</t>
  </si>
  <si>
    <t>11</t>
  </si>
  <si>
    <t>476</t>
  </si>
  <si>
    <t>299</t>
  </si>
  <si>
    <t>34</t>
  </si>
  <si>
    <t>71</t>
  </si>
  <si>
    <t>119</t>
  </si>
  <si>
    <t>69</t>
  </si>
  <si>
    <t>101.68650125</t>
  </si>
  <si>
    <t>12</t>
  </si>
  <si>
    <t>102.62250125</t>
  </si>
  <si>
    <t>13</t>
  </si>
  <si>
    <t>489</t>
  </si>
  <si>
    <t>415</t>
  </si>
  <si>
    <t>35</t>
  </si>
  <si>
    <t>406</t>
  </si>
  <si>
    <t>102.86263225</t>
  </si>
  <si>
    <t>14</t>
  </si>
  <si>
    <t>103.43863225</t>
  </si>
  <si>
    <t>362</t>
  </si>
  <si>
    <t>183</t>
  </si>
  <si>
    <t>86</t>
  </si>
  <si>
    <t>104.73862985</t>
  </si>
  <si>
    <t>104.53262985</t>
  </si>
  <si>
    <t>17</t>
  </si>
  <si>
    <t>409</t>
  </si>
  <si>
    <t>446</t>
  </si>
  <si>
    <t>89</t>
  </si>
  <si>
    <t>258</t>
  </si>
  <si>
    <t>204</t>
  </si>
  <si>
    <t>36</t>
  </si>
  <si>
    <t>102.92471085</t>
  </si>
  <si>
    <t>18</t>
  </si>
  <si>
    <t>101.72871085</t>
  </si>
  <si>
    <t>19</t>
  </si>
  <si>
    <t>469</t>
  </si>
  <si>
    <t>199</t>
  </si>
  <si>
    <t>97</t>
  </si>
  <si>
    <t>211</t>
  </si>
  <si>
    <t>254</t>
  </si>
  <si>
    <t>103.78131085</t>
  </si>
  <si>
    <t>104.36131085</t>
  </si>
  <si>
    <t>21</t>
  </si>
  <si>
    <t>445</t>
  </si>
  <si>
    <t>384</t>
  </si>
  <si>
    <t>23</t>
  </si>
  <si>
    <t>239</t>
  </si>
  <si>
    <t>244</t>
  </si>
  <si>
    <t>102.17786085</t>
  </si>
  <si>
    <t>22</t>
  </si>
  <si>
    <t>102.83386085</t>
  </si>
  <si>
    <t>460</t>
  </si>
  <si>
    <t>306</t>
  </si>
  <si>
    <t>168</t>
  </si>
  <si>
    <t>102.03671085</t>
  </si>
  <si>
    <t>24</t>
  </si>
  <si>
    <t>100.19671085</t>
  </si>
  <si>
    <t>25</t>
  </si>
  <si>
    <t>367</t>
  </si>
  <si>
    <t>334</t>
  </si>
  <si>
    <t>386</t>
  </si>
  <si>
    <t>133</t>
  </si>
  <si>
    <t>65</t>
  </si>
  <si>
    <t>104.42358225</t>
  </si>
  <si>
    <t>26</t>
  </si>
  <si>
    <t>104.26858225</t>
  </si>
  <si>
    <t>27</t>
  </si>
  <si>
    <t>376</t>
  </si>
  <si>
    <t>44</t>
  </si>
  <si>
    <t>79</t>
  </si>
  <si>
    <t>104.06185125</t>
  </si>
  <si>
    <t>28</t>
  </si>
  <si>
    <t>103.59185125</t>
  </si>
  <si>
    <t>29</t>
  </si>
  <si>
    <t>494</t>
  </si>
  <si>
    <t>355</t>
  </si>
  <si>
    <t>350</t>
  </si>
  <si>
    <t>57</t>
  </si>
  <si>
    <t>102.88903225</t>
  </si>
  <si>
    <t>30</t>
  </si>
  <si>
    <t>101.82603225</t>
  </si>
  <si>
    <t>31</t>
  </si>
  <si>
    <t>430</t>
  </si>
  <si>
    <t>205</t>
  </si>
  <si>
    <t>67</t>
  </si>
  <si>
    <t>74</t>
  </si>
  <si>
    <t>49</t>
  </si>
  <si>
    <t>104.83355125</t>
  </si>
  <si>
    <t>32</t>
  </si>
  <si>
    <t>104.84455125</t>
  </si>
  <si>
    <t>33</t>
  </si>
  <si>
    <t>427</t>
  </si>
  <si>
    <t>271</t>
  </si>
  <si>
    <t>66</t>
  </si>
  <si>
    <t>263</t>
  </si>
  <si>
    <t>55</t>
  </si>
  <si>
    <t>104.12623225</t>
  </si>
  <si>
    <t>103.80223225</t>
  </si>
  <si>
    <t>373</t>
  </si>
  <si>
    <t>429</t>
  </si>
  <si>
    <t>41</t>
  </si>
  <si>
    <t>148</t>
  </si>
  <si>
    <t>293</t>
  </si>
  <si>
    <t>103.08307985</t>
  </si>
  <si>
    <t>102.37507985</t>
  </si>
  <si>
    <t>417</t>
  </si>
  <si>
    <t>260</t>
  </si>
  <si>
    <t>117</t>
  </si>
  <si>
    <t>104.37560125</t>
  </si>
  <si>
    <t>103.11860125</t>
  </si>
  <si>
    <t>39</t>
  </si>
  <si>
    <t>498</t>
  </si>
  <si>
    <t>317</t>
  </si>
  <si>
    <t>60</t>
  </si>
  <si>
    <t>103.11636085</t>
  </si>
  <si>
    <t>40</t>
  </si>
  <si>
    <t>103.21536085</t>
  </si>
  <si>
    <t>391</t>
  </si>
  <si>
    <t>83</t>
  </si>
  <si>
    <t>364</t>
  </si>
  <si>
    <t>274</t>
  </si>
  <si>
    <t>103.92241085</t>
  </si>
  <si>
    <t>42</t>
  </si>
  <si>
    <t>103.47941085</t>
  </si>
  <si>
    <t>43</t>
  </si>
  <si>
    <t>454</t>
  </si>
  <si>
    <t>346</t>
  </si>
  <si>
    <t>419</t>
  </si>
  <si>
    <t>192</t>
  </si>
  <si>
    <t>103.87326085</t>
  </si>
  <si>
    <t>104.21026085</t>
  </si>
  <si>
    <t>45</t>
  </si>
  <si>
    <t>392</t>
  </si>
  <si>
    <t>281</t>
  </si>
  <si>
    <t>102.40437985</t>
  </si>
  <si>
    <t>102.86037985</t>
  </si>
  <si>
    <t>453</t>
  </si>
  <si>
    <t>493</t>
  </si>
  <si>
    <t>328</t>
  </si>
  <si>
    <t>145</t>
  </si>
  <si>
    <t>100.62833225</t>
  </si>
  <si>
    <t>48</t>
  </si>
  <si>
    <t>101.73533225</t>
  </si>
  <si>
    <t>425</t>
  </si>
  <si>
    <t>181</t>
  </si>
  <si>
    <t>230</t>
  </si>
  <si>
    <t>223</t>
  </si>
  <si>
    <t>104.63886085</t>
  </si>
  <si>
    <t>103.58286085</t>
  </si>
  <si>
    <t>51</t>
  </si>
  <si>
    <t>439</t>
  </si>
  <si>
    <t>294</t>
  </si>
  <si>
    <t>231</t>
  </si>
  <si>
    <t>103.31941085</t>
  </si>
  <si>
    <t>52</t>
  </si>
  <si>
    <t>104.80941085</t>
  </si>
  <si>
    <t>53</t>
  </si>
  <si>
    <t>395</t>
  </si>
  <si>
    <t>218</t>
  </si>
  <si>
    <t>189</t>
  </si>
  <si>
    <t>104.36283225</t>
  </si>
  <si>
    <t>104.06583225</t>
  </si>
  <si>
    <t>414</t>
  </si>
  <si>
    <t>403</t>
  </si>
  <si>
    <t>56</t>
  </si>
  <si>
    <t>280</t>
  </si>
  <si>
    <t>155</t>
  </si>
  <si>
    <t>101.30796085</t>
  </si>
  <si>
    <t>101.64296085</t>
  </si>
  <si>
    <t>385</t>
  </si>
  <si>
    <t>249</t>
  </si>
  <si>
    <t>70</t>
  </si>
  <si>
    <t>128</t>
  </si>
  <si>
    <t>58</t>
  </si>
  <si>
    <t>102.88955125</t>
  </si>
  <si>
    <t>104.73055125</t>
  </si>
  <si>
    <t>59</t>
  </si>
  <si>
    <t>467</t>
  </si>
  <si>
    <t>337</t>
  </si>
  <si>
    <t>269</t>
  </si>
  <si>
    <t>103.40036085</t>
  </si>
  <si>
    <t>102.99636085</t>
  </si>
  <si>
    <t>61</t>
  </si>
  <si>
    <t>101.30481085</t>
  </si>
  <si>
    <t>102.85443225</t>
  </si>
  <si>
    <t>63</t>
  </si>
  <si>
    <t>102.54250125</t>
  </si>
  <si>
    <t>103.41763225</t>
  </si>
  <si>
    <t>103.12571085</t>
  </si>
  <si>
    <t>101.51886085</t>
  </si>
  <si>
    <t>100.11871085</t>
  </si>
  <si>
    <t>102.51503225</t>
  </si>
  <si>
    <t>103.40607985</t>
  </si>
  <si>
    <t>104.00136085</t>
  </si>
  <si>
    <t>105.03141085</t>
  </si>
  <si>
    <t>102.09437985</t>
  </si>
  <si>
    <t>73</t>
  </si>
  <si>
    <t>101.57033225</t>
  </si>
  <si>
    <t>101.62696085</t>
  </si>
  <si>
    <t>103.51636085</t>
  </si>
  <si>
    <t>76</t>
  </si>
  <si>
    <t>101.81981085</t>
  </si>
  <si>
    <t>77</t>
  </si>
  <si>
    <t>101.40286085</t>
  </si>
  <si>
    <t>100.68871085</t>
  </si>
  <si>
    <t>100.86333225</t>
  </si>
  <si>
    <t>80</t>
  </si>
  <si>
    <t>101.22096085</t>
  </si>
  <si>
    <t>81</t>
  </si>
  <si>
    <t>116.62958620087</t>
  </si>
  <si>
    <t>103.25339085</t>
  </si>
  <si>
    <t>82</t>
  </si>
  <si>
    <t>102.49539085</t>
  </si>
  <si>
    <t>103.65539085</t>
  </si>
  <si>
    <t>84</t>
  </si>
  <si>
    <t>102.52939085</t>
  </si>
  <si>
    <t>85</t>
  </si>
  <si>
    <t>0.62958620087323</t>
  </si>
  <si>
    <t>93.16084685</t>
  </si>
  <si>
    <t>94.21184685</t>
  </si>
  <si>
    <t>87</t>
  </si>
  <si>
    <t>94.00484685</t>
  </si>
  <si>
    <t>92.87584685</t>
  </si>
  <si>
    <t>94.017766014074</t>
  </si>
  <si>
    <t>Extra Soft</t>
  </si>
  <si>
    <t>102.50489085</t>
  </si>
  <si>
    <t>113.25917240175</t>
  </si>
  <si>
    <t>88.035532028148</t>
  </si>
  <si>
    <t>102.31175048992</t>
  </si>
  <si>
    <t>109.88875860262</t>
  </si>
  <si>
    <t>82.053298042222</t>
  </si>
  <si>
    <t>100.71361012984</t>
  </si>
  <si>
    <t>106.51834480349</t>
  </si>
  <si>
    <t>76.071064056297</t>
  </si>
  <si>
    <t>101.68746976977</t>
  </si>
  <si>
    <t>103.14793100437</t>
  </si>
  <si>
    <t>70.088830070371</t>
  </si>
  <si>
    <t>101.16332940969</t>
  </si>
  <si>
    <t>99.777517205239</t>
  </si>
  <si>
    <t>64.106596084445</t>
  </si>
  <si>
    <t>99.91218904961</t>
  </si>
  <si>
    <t>96.407103406113</t>
  </si>
  <si>
    <t>58.124362098519</t>
  </si>
  <si>
    <t>100.92504868953</t>
  </si>
  <si>
    <t>93.036689606986</t>
  </si>
  <si>
    <t>52.142128112593</t>
  </si>
  <si>
    <t>99.485908329455</t>
  </si>
  <si>
    <t>90</t>
  </si>
  <si>
    <t>102.50339085</t>
  </si>
  <si>
    <t>92.15291879392</t>
  </si>
  <si>
    <t>103.13625048992</t>
  </si>
  <si>
    <t>88.229378190879</t>
  </si>
  <si>
    <t>102.03911012984</t>
  </si>
  <si>
    <t>84.305837587839</t>
  </si>
  <si>
    <t>101.74096976977</t>
  </si>
  <si>
    <t>80.382296984799</t>
  </si>
  <si>
    <t>102.02382940969</t>
  </si>
  <si>
    <t>76.458756381759</t>
  </si>
  <si>
    <t>100.99868904961</t>
  </si>
  <si>
    <t>72.535215778719</t>
  </si>
  <si>
    <t>101.42454868953</t>
  </si>
  <si>
    <t>68.611675175679</t>
  </si>
  <si>
    <t>101.34440832945</t>
  </si>
  <si>
    <t>91</t>
  </si>
  <si>
    <t>96.579077076884</t>
  </si>
  <si>
    <t>Medium</t>
  </si>
  <si>
    <t>103.61434435</t>
  </si>
  <si>
    <t>93.158154153768</t>
  </si>
  <si>
    <t>102.35420398992</t>
  </si>
  <si>
    <t>89.737231230653</t>
  </si>
  <si>
    <t>101.84406362984</t>
  </si>
  <si>
    <t>86.316308307537</t>
  </si>
  <si>
    <t>102.37692326977</t>
  </si>
  <si>
    <t>82.895385384421</t>
  </si>
  <si>
    <t>101.44078290969</t>
  </si>
  <si>
    <t>79.474462461305</t>
  </si>
  <si>
    <t>102.49864254961</t>
  </si>
  <si>
    <t>76.053539538189</t>
  </si>
  <si>
    <t>100.64950218953</t>
  </si>
  <si>
    <t>72.632616615074</t>
  </si>
  <si>
    <t>100.60436182945</t>
  </si>
  <si>
    <t>92</t>
  </si>
  <si>
    <t>96.812597654852</t>
  </si>
  <si>
    <t>Hard</t>
  </si>
  <si>
    <t>102.85823135</t>
  </si>
  <si>
    <t>93.625195309705</t>
  </si>
  <si>
    <t>102.49909098992</t>
  </si>
  <si>
    <t>90.437792964557</t>
  </si>
  <si>
    <t>101.90995062984</t>
  </si>
  <si>
    <t>87.25039061941</t>
  </si>
  <si>
    <t>102.64881026977</t>
  </si>
  <si>
    <t>84.062988274262</t>
  </si>
  <si>
    <t>101.37366990969</t>
  </si>
  <si>
    <t>80.875585929115</t>
  </si>
  <si>
    <t>102.62152954961</t>
  </si>
  <si>
    <t>77.688183583967</t>
  </si>
  <si>
    <t>102.05038918953</t>
  </si>
  <si>
    <t>74.50078123882</t>
  </si>
  <si>
    <t>101.09524882945</t>
  </si>
  <si>
    <t>Extra soft</t>
  </si>
  <si>
    <t>Decay rates per lap</t>
  </si>
  <si>
    <t>AVG Max Fuel</t>
  </si>
  <si>
    <t>AVG Min Fuel</t>
  </si>
  <si>
    <t>Fuel Diff (s)</t>
  </si>
  <si>
    <t xml:space="preserve">Fuel Estimation </t>
  </si>
  <si>
    <t>Max Laps</t>
  </si>
  <si>
    <t>Seconds lost per lap</t>
  </si>
  <si>
    <t>Tire</t>
  </si>
  <si>
    <t>Basepace Estimation</t>
  </si>
  <si>
    <t>Lap Time Helper</t>
  </si>
  <si>
    <t>MAX Laps</t>
  </si>
  <si>
    <t>MIN Stints</t>
  </si>
  <si>
    <t>Column1</t>
  </si>
  <si>
    <t xml:space="preserve">Fuel </t>
  </si>
  <si>
    <t>Tyre</t>
  </si>
  <si>
    <t>Compound</t>
  </si>
  <si>
    <t>Fuel Calculator</t>
  </si>
  <si>
    <t>Rounds</t>
  </si>
  <si>
    <t>Fuel needed</t>
  </si>
  <si>
    <t>Fuel in last Round</t>
  </si>
  <si>
    <t>Time</t>
  </si>
  <si>
    <t>SUM</t>
  </si>
  <si>
    <t>Strategy:  1x MEDIUM, 1x SOFT, 1x EXTRA SOFT</t>
  </si>
  <si>
    <t>Strategy: 3x SOFT</t>
  </si>
  <si>
    <t>Fuel Penalty per Lap</t>
  </si>
  <si>
    <t>Fuel Penalty per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</si>
</sst>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"/>
    <numFmt numFmtId="165" formatCode="0.000000000000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2" fontId="0" fillId="0" borderId="0" xfId="0" applyNumberFormat="1"/>
    <xf numFmtId="2" fontId="0" fillId="4" borderId="0" xfId="0" applyNumberFormat="1" applyFill="1"/>
    <xf numFmtId="2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6" borderId="0" xfId="0" applyFont="1" applyFill="1"/>
    <xf numFmtId="166" fontId="3" fillId="6" borderId="0" xfId="0" applyNumberFormat="1" applyFont="1" applyFill="1"/>
    <xf numFmtId="0" fontId="1" fillId="7" borderId="0" xfId="0" applyFont="1" applyFill="1"/>
    <xf numFmtId="0" fontId="0" fillId="7" borderId="0" xfId="0" applyFill="1"/>
    <xf numFmtId="0" fontId="0" fillId="8" borderId="0" xfId="0" applyFill="1" applyProtection="1">
      <protection locked="0"/>
    </xf>
    <xf numFmtId="0" fontId="0" fillId="0" borderId="2" xfId="0" applyBorder="1"/>
    <xf numFmtId="165" fontId="0" fillId="0" borderId="2" xfId="0" applyNumberFormat="1" applyBorder="1"/>
    <xf numFmtId="0" fontId="0" fillId="5" borderId="2" xfId="0" applyFill="1" applyBorder="1"/>
    <xf numFmtId="165" fontId="0" fillId="5" borderId="2" xfId="0" applyNumberFormat="1" applyFill="1" applyBorder="1"/>
    <xf numFmtId="0" fontId="0" fillId="0" borderId="3" xfId="0" applyBorder="1"/>
    <xf numFmtId="165" fontId="0" fillId="0" borderId="3" xfId="0" applyNumberFormat="1" applyBorder="1"/>
    <xf numFmtId="0" fontId="1" fillId="0" borderId="1" xfId="0" applyFont="1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DF3300-3464-44D0-9FFF-7E4DFFE80C3C}" autoFormatId="16" applyNumberFormats="0" applyBorderFormats="0" applyFontFormats="0" applyPatternFormats="0" applyAlignmentFormats="0" applyWidthHeightFormats="0">
  <queryTableRefresh nextId="34" unboundColumnsRight="2">
    <queryTableFields count="14">
      <queryTableField id="4" name="Stint" tableColumnId="4"/>
      <queryTableField id="5" name="Lap" tableColumnId="5"/>
      <queryTableField id="6" name="Rear Wing" tableColumnId="6"/>
      <queryTableField id="7" name="Front Wing" tableColumnId="7"/>
      <queryTableField id="8" name="Engine" tableColumnId="8"/>
      <queryTableField id="9" name="Brake" tableColumnId="9"/>
      <queryTableField id="10" name="Differential" tableColumnId="10"/>
      <queryTableField id="11" name="Suspension" tableColumnId="11"/>
      <queryTableField id="12" name="Fuel" tableColumnId="12"/>
      <queryTableField id="13" name="Tyre Remaining" tableColumnId="13"/>
      <queryTableField id="14" name="Tyre Choice" tableColumnId="14"/>
      <queryTableField id="15" name="Lap Time" tableColumnId="15"/>
      <queryTableField id="30" dataBound="0" tableColumnId="30"/>
      <queryTableField id="3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E5B02-3804-4C22-A030-3229A672DEE7}" name="practice_data_belgium_final" displayName="practice_data_belgium_final" ref="A1:N121" tableType="queryTable" totalsRowShown="0" headerRowDxfId="14">
  <autoFilter ref="A1:N121" xr:uid="{75BE5B02-3804-4C22-A030-3229A672DEE7}"/>
  <tableColumns count="14">
    <tableColumn id="4" xr3:uid="{E8AF7F89-51EA-4079-BDD1-562768D792AC}" uniqueName="4" name="Stint" queryTableFieldId="4" dataDxfId="13"/>
    <tableColumn id="5" xr3:uid="{1AB7624E-7D66-49D7-ACD3-57A4FF15D4EE}" uniqueName="5" name="Lap" queryTableFieldId="5" dataDxfId="12"/>
    <tableColumn id="6" xr3:uid="{C0A2F3BE-3AAF-4313-A424-C6C9F99D1A08}" uniqueName="6" name="Rear Wing" queryTableFieldId="6" dataDxfId="11"/>
    <tableColumn id="7" xr3:uid="{008D55BA-E86D-4173-9643-202BDA1F3C5A}" uniqueName="7" name="Front Wing" queryTableFieldId="7" dataDxfId="10"/>
    <tableColumn id="8" xr3:uid="{8A6DB1BF-B64B-44A8-9A17-7A74297AD7D7}" uniqueName="8" name="Engine" queryTableFieldId="8" dataDxfId="9"/>
    <tableColumn id="9" xr3:uid="{C9CC9B90-3F65-4021-B054-F3E89879BDF2}" uniqueName="9" name="Brake" queryTableFieldId="9" dataDxfId="8"/>
    <tableColumn id="10" xr3:uid="{C768D8CB-D50F-441F-BADB-B7A6335CB25D}" uniqueName="10" name="Differential" queryTableFieldId="10" dataDxfId="7"/>
    <tableColumn id="11" xr3:uid="{80061B01-437A-418B-ABB0-ED767DD9DB23}" uniqueName="11" name="Suspension" queryTableFieldId="11" dataDxfId="6"/>
    <tableColumn id="12" xr3:uid="{4A2245CB-E8D4-42A0-B593-220E42B7AA39}" uniqueName="12" name="Fuel" queryTableFieldId="12" dataDxfId="5"/>
    <tableColumn id="13" xr3:uid="{A44F2F2B-C41B-45F5-8609-C422BD6EC1CA}" uniqueName="13" name="Tyre Remaining" queryTableFieldId="13" dataDxfId="4"/>
    <tableColumn id="14" xr3:uid="{6940B0D8-47F7-4C43-965F-09743568DAD8}" uniqueName="14" name="Tyre Choice" queryTableFieldId="14" dataDxfId="3"/>
    <tableColumn id="15" xr3:uid="{27492724-466D-4739-A814-018FF04B1D3B}" uniqueName="15" name="Lap Time" queryTableFieldId="15" dataDxfId="2"/>
    <tableColumn id="30" xr3:uid="{6AD31FF1-6B09-449C-9DCA-D9E92780B6C0}" uniqueName="30" name="Lap Time Helper" queryTableFieldId="30" dataDxfId="1"/>
    <tableColumn id="31" xr3:uid="{BF106043-669C-47EA-B54C-991C5C246956}" uniqueName="31" name="Column1" queryTableFieldId="3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86"/>
  <sheetViews>
    <sheetView workbookViewId="0">
      <selection activeCell="H8" sqref="H8"/>
    </sheetView>
  </sheetViews>
  <sheetFormatPr defaultRowHeight="14.4" x14ac:dyDescent="0.3"/>
  <cols>
    <col min="2" max="2" width="15.88671875" bestFit="1" customWidth="1"/>
    <col min="3" max="3" width="19.77734375" bestFit="1" customWidth="1"/>
    <col min="4" max="4" width="18.109375" bestFit="1" customWidth="1"/>
    <col min="5" max="6" width="18.109375" customWidth="1"/>
    <col min="7" max="7" width="18.77734375" bestFit="1" customWidth="1"/>
    <col min="10" max="10" width="19.77734375" bestFit="1" customWidth="1"/>
    <col min="11" max="11" width="12" bestFit="1" customWidth="1"/>
    <col min="12" max="12" width="10.44140625" bestFit="1" customWidth="1"/>
    <col min="13" max="13" width="16.109375" bestFit="1" customWidth="1"/>
  </cols>
  <sheetData>
    <row r="2" spans="2:8" x14ac:dyDescent="0.3">
      <c r="B2" s="12" t="s">
        <v>370</v>
      </c>
      <c r="C2" s="13"/>
      <c r="D2" s="12" t="s">
        <v>380</v>
      </c>
      <c r="E2" s="12" t="s">
        <v>381</v>
      </c>
      <c r="G2" s="12" t="s">
        <v>374</v>
      </c>
      <c r="H2" s="13"/>
    </row>
    <row r="3" spans="2:8" x14ac:dyDescent="0.3">
      <c r="B3" s="4" t="s">
        <v>8</v>
      </c>
      <c r="C3">
        <f>100-practice_data_belgium_final!I2</f>
        <v>3.3704137991269931</v>
      </c>
      <c r="D3">
        <f>(120/C3)</f>
        <v>35.603936831460423</v>
      </c>
      <c r="E3">
        <f>_xlfn.CEILING.MATH(63/D3)</f>
        <v>2</v>
      </c>
      <c r="G3" s="4" t="s">
        <v>371</v>
      </c>
      <c r="H3" s="5" cm="1">
        <f t="array" ref="H3">AVERAGE(_xlfn.NUMBERVALUE(practice_data_belgium_final!L82:L85))</f>
        <v>102.98339085000001</v>
      </c>
    </row>
    <row r="4" spans="2:8" x14ac:dyDescent="0.3">
      <c r="B4" s="4" t="s">
        <v>369</v>
      </c>
      <c r="C4">
        <f>100-practice_data_belgium_final!J90</f>
        <v>5.9822339859260012</v>
      </c>
      <c r="D4">
        <f>(100/C4)</f>
        <v>16.716163265305781</v>
      </c>
      <c r="E4">
        <f>_xlfn.CEILING.MATH(63/D4)</f>
        <v>4</v>
      </c>
      <c r="G4" s="4" t="s">
        <v>372</v>
      </c>
      <c r="H4" cm="1">
        <f t="array" ref="H4">AVERAGE(_xlfn.NUMBERVALUE(practice_data_belgium_final!L86:L89))</f>
        <v>93.563346850000016</v>
      </c>
    </row>
    <row r="5" spans="2:8" x14ac:dyDescent="0.3">
      <c r="B5" s="4" t="s">
        <v>22</v>
      </c>
      <c r="C5">
        <f>100-practice_data_belgium_final!J98</f>
        <v>3.9235406030399957</v>
      </c>
      <c r="D5">
        <f>(100/C5)</f>
        <v>25.487183673470607</v>
      </c>
      <c r="E5">
        <f t="shared" ref="E5:E7" si="0">_xlfn.CEILING.MATH(63/D5)</f>
        <v>3</v>
      </c>
      <c r="G5" s="4" t="s">
        <v>373</v>
      </c>
      <c r="H5" s="5">
        <f>H3-H4</f>
        <v>9.4200439999999901</v>
      </c>
    </row>
    <row r="6" spans="2:8" x14ac:dyDescent="0.3">
      <c r="B6" s="4" t="s">
        <v>335</v>
      </c>
      <c r="C6">
        <f>100-practice_data_belgium_final!J106</f>
        <v>3.4209229231159952</v>
      </c>
      <c r="D6">
        <f>(100/C6)</f>
        <v>29.23187755101878</v>
      </c>
      <c r="E6">
        <f t="shared" si="0"/>
        <v>3</v>
      </c>
      <c r="G6" s="4" t="s">
        <v>375</v>
      </c>
      <c r="H6">
        <f>120/C3</f>
        <v>35.603936831460423</v>
      </c>
    </row>
    <row r="7" spans="2:8" x14ac:dyDescent="0.3">
      <c r="B7" s="4" t="s">
        <v>353</v>
      </c>
      <c r="C7">
        <f>100-practice_data_belgium_final!J114</f>
        <v>3.1874023451480014</v>
      </c>
      <c r="D7">
        <f>(100/C7)</f>
        <v>31.373510204077068</v>
      </c>
      <c r="E7">
        <f t="shared" si="0"/>
        <v>3</v>
      </c>
      <c r="G7" s="4" t="s">
        <v>394</v>
      </c>
      <c r="H7">
        <f>H5/H6</f>
        <v>0.26457871904986169</v>
      </c>
    </row>
    <row r="8" spans="2:8" x14ac:dyDescent="0.3">
      <c r="G8" s="4" t="s">
        <v>395</v>
      </c>
      <c r="H8">
        <f>H5/116</f>
        <v>8.1207275862068884E-2</v>
      </c>
    </row>
    <row r="11" spans="2:8" x14ac:dyDescent="0.3">
      <c r="B11" s="12" t="s">
        <v>377</v>
      </c>
      <c r="C11" s="12" t="s">
        <v>376</v>
      </c>
      <c r="D11" s="12" t="s">
        <v>378</v>
      </c>
      <c r="E11" s="4"/>
      <c r="F11" s="4"/>
      <c r="G11" s="12" t="s">
        <v>386</v>
      </c>
      <c r="H11" s="13"/>
    </row>
    <row r="12" spans="2:8" x14ac:dyDescent="0.3">
      <c r="B12" t="s">
        <v>294</v>
      </c>
      <c r="C12" s="8" cm="1">
        <f t="array" ref="C12">SLOPE(_xlfn.NUMBERVALUE(practice_data_belgium_final!L90:L97),_xlfn.NUMBERVALUE(practice_data_belgium_final!B90:B97)) + H7</f>
        <v>-0.10440687912317376</v>
      </c>
      <c r="D12" s="5">
        <f>AVERAGE(practice_data_belgium_final!M90:M97)</f>
        <v>92.594006106401409</v>
      </c>
      <c r="E12" s="5"/>
      <c r="F12" s="5"/>
      <c r="G12" t="s">
        <v>387</v>
      </c>
      <c r="H12">
        <v>16</v>
      </c>
    </row>
    <row r="13" spans="2:8" x14ac:dyDescent="0.3">
      <c r="B13" t="s">
        <v>22</v>
      </c>
      <c r="C13" s="9" cm="1">
        <f t="array" ref="C13">SLOPE(_xlfn.NUMBERVALUE(practice_data_belgium_final!L98:L105),_xlfn.NUMBERVALUE(practice_data_belgium_final!B98:B105)) + H7</f>
        <v>3.231931135259955E-2</v>
      </c>
      <c r="D13" s="5">
        <f>AVERAGE(practice_data_belgium_final!M98:M105)</f>
        <v>93.407381106400777</v>
      </c>
      <c r="E13" s="5"/>
      <c r="F13" s="5"/>
      <c r="G13" t="s">
        <v>388</v>
      </c>
      <c r="H13" s="14">
        <f>_xlfn.CEILING.MATH(0.01 + H12*C3)</f>
        <v>54</v>
      </c>
    </row>
    <row r="14" spans="2:8" x14ac:dyDescent="0.3">
      <c r="B14" t="s">
        <v>335</v>
      </c>
      <c r="C14" s="9" cm="1">
        <f t="array" ref="C14">SLOPE(_xlfn.NUMBERVALUE(practice_data_belgium_final!L106:L113),_xlfn.NUMBERVALUE(practice_data_belgium_final!B106:B113)) +H7</f>
        <v>-7.5490212456923556E-2</v>
      </c>
      <c r="D14" s="5">
        <f>AVERAGE(practice_data_belgium_final!M106:M113)</f>
        <v>93.42883460640077</v>
      </c>
      <c r="E14" s="5"/>
      <c r="F14" s="5"/>
      <c r="G14" t="s">
        <v>389</v>
      </c>
      <c r="H14" s="14">
        <f>H13-H12*C3</f>
        <v>7.337921396810998E-2</v>
      </c>
    </row>
    <row r="15" spans="2:8" x14ac:dyDescent="0.3">
      <c r="B15" t="s">
        <v>353</v>
      </c>
      <c r="C15" s="8" cm="1">
        <f t="array" ref="C15">SLOPE(_xlfn.NUMBERVALUE(practice_data_belgium_final!L114:L121),_xlfn.NUMBERVALUE(practice_data_belgium_final!B114:B121)) + H7</f>
        <v>0.10118835897164713</v>
      </c>
      <c r="D15" s="5">
        <f>AVERAGE(practice_data_belgium_final!M114:M121)</f>
        <v>93.638096606400779</v>
      </c>
      <c r="E15" s="5"/>
      <c r="F15" s="5"/>
    </row>
    <row r="18" spans="1:13" x14ac:dyDescent="0.3">
      <c r="A18" t="s">
        <v>393</v>
      </c>
      <c r="C18" s="9"/>
      <c r="H18" t="s">
        <v>392</v>
      </c>
    </row>
    <row r="21" spans="1:13" x14ac:dyDescent="0.3">
      <c r="A21" s="21" t="s">
        <v>0</v>
      </c>
      <c r="B21" s="21" t="s">
        <v>1</v>
      </c>
      <c r="C21" s="21" t="s">
        <v>383</v>
      </c>
      <c r="D21" s="21" t="s">
        <v>384</v>
      </c>
      <c r="E21" s="21" t="s">
        <v>385</v>
      </c>
      <c r="F21" s="21" t="s">
        <v>390</v>
      </c>
      <c r="H21" s="21" t="s">
        <v>0</v>
      </c>
      <c r="I21" s="21" t="s">
        <v>1</v>
      </c>
      <c r="J21" s="21" t="s">
        <v>383</v>
      </c>
      <c r="K21" s="21" t="s">
        <v>384</v>
      </c>
      <c r="L21" s="21" t="s">
        <v>385</v>
      </c>
      <c r="M21" s="21" t="s">
        <v>390</v>
      </c>
    </row>
    <row r="22" spans="1:13" x14ac:dyDescent="0.3">
      <c r="A22" s="15">
        <v>1</v>
      </c>
      <c r="B22" s="15">
        <v>1</v>
      </c>
      <c r="C22" s="16">
        <f>71-$C$3</f>
        <v>67.629586200873007</v>
      </c>
      <c r="D22" s="15">
        <f>100-$C$5</f>
        <v>96.076459396960004</v>
      </c>
      <c r="E22" s="15" t="s">
        <v>22</v>
      </c>
      <c r="F22" s="15">
        <f>$D$13+C22*$H$8</f>
        <v>98.899395569452636</v>
      </c>
      <c r="H22" s="15">
        <v>1</v>
      </c>
      <c r="I22" s="15">
        <v>1</v>
      </c>
      <c r="J22" s="16">
        <f>81-$C$3</f>
        <v>77.629586200873007</v>
      </c>
      <c r="K22" s="15">
        <f>100-$C$6</f>
        <v>96.579077076884005</v>
      </c>
      <c r="L22" s="15" t="s">
        <v>335</v>
      </c>
      <c r="M22" s="15">
        <f>$D$14+J22*$H$8</f>
        <v>99.732921828073316</v>
      </c>
    </row>
    <row r="23" spans="1:13" x14ac:dyDescent="0.3">
      <c r="A23" s="15">
        <v>2</v>
      </c>
      <c r="B23" s="15">
        <v>2</v>
      </c>
      <c r="C23" s="16">
        <f>C22-$C$3</f>
        <v>64.259172401746014</v>
      </c>
      <c r="D23" s="15">
        <f>D22-$C$5</f>
        <v>92.152918793920009</v>
      </c>
      <c r="E23" s="15" t="s">
        <v>22</v>
      </c>
      <c r="F23" s="15">
        <f t="shared" ref="F23:F84" si="1">$D$13+C23*$H$8</f>
        <v>98.625693446297603</v>
      </c>
      <c r="H23" s="15">
        <v>2</v>
      </c>
      <c r="I23" s="15">
        <v>2</v>
      </c>
      <c r="J23" s="16">
        <f>J22-$C$3</f>
        <v>74.259172401746014</v>
      </c>
      <c r="K23" s="15">
        <f>K22-$C$6</f>
        <v>93.15815415376801</v>
      </c>
      <c r="L23" s="15" t="s">
        <v>335</v>
      </c>
      <c r="M23" s="15">
        <f t="shared" ref="M23:M45" si="2">$D$14+J23*$H$8</f>
        <v>99.459219704918297</v>
      </c>
    </row>
    <row r="24" spans="1:13" x14ac:dyDescent="0.3">
      <c r="A24" s="15">
        <v>3</v>
      </c>
      <c r="B24" s="15">
        <v>3</v>
      </c>
      <c r="C24" s="16">
        <f t="shared" ref="C24:C42" si="3">C23-$C$3</f>
        <v>60.888758602619021</v>
      </c>
      <c r="D24" s="15">
        <f t="shared" ref="D24:D42" si="4">D23-$C$5</f>
        <v>88.229378190880013</v>
      </c>
      <c r="E24" s="15" t="s">
        <v>22</v>
      </c>
      <c r="F24" s="15">
        <f t="shared" si="1"/>
        <v>98.351991323142585</v>
      </c>
      <c r="H24" s="15">
        <v>3</v>
      </c>
      <c r="I24" s="15">
        <v>3</v>
      </c>
      <c r="J24" s="16">
        <f t="shared" ref="J24:J45" si="5">J23-$C$3</f>
        <v>70.888758602619021</v>
      </c>
      <c r="K24" s="15">
        <f t="shared" ref="K24:K45" si="6">K23-$C$6</f>
        <v>89.737231230652014</v>
      </c>
      <c r="L24" s="15" t="s">
        <v>335</v>
      </c>
      <c r="M24" s="15">
        <f t="shared" si="2"/>
        <v>99.185517581763264</v>
      </c>
    </row>
    <row r="25" spans="1:13" x14ac:dyDescent="0.3">
      <c r="A25" s="15">
        <v>4</v>
      </c>
      <c r="B25" s="15">
        <v>4</v>
      </c>
      <c r="C25" s="16">
        <f t="shared" si="3"/>
        <v>57.518344803492027</v>
      </c>
      <c r="D25" s="15">
        <f t="shared" si="4"/>
        <v>84.305837587840017</v>
      </c>
      <c r="E25" s="15" t="s">
        <v>22</v>
      </c>
      <c r="F25" s="15">
        <f t="shared" si="1"/>
        <v>98.078289199987552</v>
      </c>
      <c r="H25" s="15">
        <v>4</v>
      </c>
      <c r="I25" s="15">
        <v>4</v>
      </c>
      <c r="J25" s="16">
        <f t="shared" si="5"/>
        <v>67.518344803492027</v>
      </c>
      <c r="K25" s="15">
        <f t="shared" si="6"/>
        <v>86.316308307536019</v>
      </c>
      <c r="L25" s="15" t="s">
        <v>335</v>
      </c>
      <c r="M25" s="15">
        <f t="shared" si="2"/>
        <v>98.911815458608231</v>
      </c>
    </row>
    <row r="26" spans="1:13" x14ac:dyDescent="0.3">
      <c r="A26" s="15">
        <v>5</v>
      </c>
      <c r="B26" s="15">
        <v>5</v>
      </c>
      <c r="C26" s="16">
        <f t="shared" si="3"/>
        <v>54.147931004365034</v>
      </c>
      <c r="D26" s="15">
        <f t="shared" si="4"/>
        <v>80.382296984800021</v>
      </c>
      <c r="E26" s="15" t="s">
        <v>22</v>
      </c>
      <c r="F26" s="15">
        <f t="shared" si="1"/>
        <v>97.804587076832519</v>
      </c>
      <c r="H26" s="15">
        <v>5</v>
      </c>
      <c r="I26" s="15">
        <v>5</v>
      </c>
      <c r="J26" s="16">
        <f t="shared" si="5"/>
        <v>64.147931004365034</v>
      </c>
      <c r="K26" s="15">
        <f t="shared" si="6"/>
        <v>82.895385384420024</v>
      </c>
      <c r="L26" s="15" t="s">
        <v>335</v>
      </c>
      <c r="M26" s="15">
        <f t="shared" si="2"/>
        <v>98.638113335453198</v>
      </c>
    </row>
    <row r="27" spans="1:13" x14ac:dyDescent="0.3">
      <c r="A27" s="15">
        <v>6</v>
      </c>
      <c r="B27" s="15">
        <v>6</v>
      </c>
      <c r="C27" s="16">
        <f t="shared" si="3"/>
        <v>50.777517205238041</v>
      </c>
      <c r="D27" s="15">
        <f t="shared" si="4"/>
        <v>76.458756381760026</v>
      </c>
      <c r="E27" s="15" t="s">
        <v>22</v>
      </c>
      <c r="F27" s="15">
        <f t="shared" si="1"/>
        <v>97.530884953677486</v>
      </c>
      <c r="H27" s="15">
        <v>6</v>
      </c>
      <c r="I27" s="15">
        <v>6</v>
      </c>
      <c r="J27" s="16">
        <f t="shared" si="5"/>
        <v>60.777517205238041</v>
      </c>
      <c r="K27" s="15">
        <f t="shared" si="6"/>
        <v>79.474462461304029</v>
      </c>
      <c r="L27" s="15" t="s">
        <v>335</v>
      </c>
      <c r="M27" s="15">
        <f t="shared" si="2"/>
        <v>98.36441121229818</v>
      </c>
    </row>
    <row r="28" spans="1:13" x14ac:dyDescent="0.3">
      <c r="A28" s="15">
        <v>7</v>
      </c>
      <c r="B28" s="15">
        <v>7</v>
      </c>
      <c r="C28" s="16">
        <f t="shared" si="3"/>
        <v>47.407103406111048</v>
      </c>
      <c r="D28" s="15">
        <f t="shared" si="4"/>
        <v>72.53521577872003</v>
      </c>
      <c r="E28" s="15" t="s">
        <v>22</v>
      </c>
      <c r="F28" s="15">
        <f t="shared" si="1"/>
        <v>97.257182830522467</v>
      </c>
      <c r="H28" s="15">
        <v>7</v>
      </c>
      <c r="I28" s="15">
        <v>7</v>
      </c>
      <c r="J28" s="16">
        <f t="shared" si="5"/>
        <v>57.407103406111048</v>
      </c>
      <c r="K28" s="15">
        <f t="shared" si="6"/>
        <v>76.053539538188033</v>
      </c>
      <c r="L28" s="15" t="s">
        <v>335</v>
      </c>
      <c r="M28" s="15">
        <f t="shared" si="2"/>
        <v>98.090709089143147</v>
      </c>
    </row>
    <row r="29" spans="1:13" x14ac:dyDescent="0.3">
      <c r="A29" s="15">
        <v>8</v>
      </c>
      <c r="B29" s="15">
        <v>8</v>
      </c>
      <c r="C29" s="16">
        <f t="shared" si="3"/>
        <v>44.036689606984055</v>
      </c>
      <c r="D29" s="15">
        <f t="shared" si="4"/>
        <v>68.611675175680034</v>
      </c>
      <c r="E29" s="15" t="s">
        <v>22</v>
      </c>
      <c r="F29" s="15">
        <f t="shared" si="1"/>
        <v>96.983480707367434</v>
      </c>
      <c r="H29" s="15">
        <v>8</v>
      </c>
      <c r="I29" s="15">
        <v>8</v>
      </c>
      <c r="J29" s="16">
        <f t="shared" si="5"/>
        <v>54.036689606984055</v>
      </c>
      <c r="K29" s="15">
        <f t="shared" si="6"/>
        <v>72.632616615072038</v>
      </c>
      <c r="L29" s="15" t="s">
        <v>335</v>
      </c>
      <c r="M29" s="15">
        <f t="shared" si="2"/>
        <v>97.817006965988114</v>
      </c>
    </row>
    <row r="30" spans="1:13" x14ac:dyDescent="0.3">
      <c r="A30" s="15">
        <v>9</v>
      </c>
      <c r="B30" s="15">
        <v>9</v>
      </c>
      <c r="C30" s="16">
        <f t="shared" si="3"/>
        <v>40.666275807857062</v>
      </c>
      <c r="D30" s="15">
        <f t="shared" si="4"/>
        <v>64.688134572640038</v>
      </c>
      <c r="E30" s="15" t="s">
        <v>22</v>
      </c>
      <c r="F30" s="15">
        <f t="shared" si="1"/>
        <v>96.709778584212401</v>
      </c>
      <c r="H30" s="15">
        <v>9</v>
      </c>
      <c r="I30" s="15">
        <v>9</v>
      </c>
      <c r="J30" s="16">
        <f t="shared" si="5"/>
        <v>50.666275807857062</v>
      </c>
      <c r="K30" s="15">
        <f t="shared" si="6"/>
        <v>69.211693691956043</v>
      </c>
      <c r="L30" s="15" t="s">
        <v>335</v>
      </c>
      <c r="M30" s="15">
        <f t="shared" si="2"/>
        <v>97.543304842833081</v>
      </c>
    </row>
    <row r="31" spans="1:13" x14ac:dyDescent="0.3">
      <c r="A31" s="15">
        <v>10</v>
      </c>
      <c r="B31" s="15">
        <v>10</v>
      </c>
      <c r="C31" s="16">
        <f t="shared" si="3"/>
        <v>37.295862008730069</v>
      </c>
      <c r="D31" s="15">
        <f t="shared" si="4"/>
        <v>60.764593969600043</v>
      </c>
      <c r="E31" s="15" t="s">
        <v>22</v>
      </c>
      <c r="F31" s="15">
        <f t="shared" si="1"/>
        <v>96.436076461057368</v>
      </c>
      <c r="H31" s="15">
        <v>10</v>
      </c>
      <c r="I31" s="15">
        <v>10</v>
      </c>
      <c r="J31" s="16">
        <f t="shared" si="5"/>
        <v>47.295862008730069</v>
      </c>
      <c r="K31" s="15">
        <f t="shared" si="6"/>
        <v>65.790770768840048</v>
      </c>
      <c r="L31" s="15" t="s">
        <v>335</v>
      </c>
      <c r="M31" s="15">
        <f t="shared" si="2"/>
        <v>97.269602719678062</v>
      </c>
    </row>
    <row r="32" spans="1:13" x14ac:dyDescent="0.3">
      <c r="A32" s="15">
        <v>11</v>
      </c>
      <c r="B32" s="15">
        <v>11</v>
      </c>
      <c r="C32" s="16">
        <f t="shared" si="3"/>
        <v>33.925448209603076</v>
      </c>
      <c r="D32" s="15">
        <f t="shared" si="4"/>
        <v>56.841053366560047</v>
      </c>
      <c r="E32" s="15" t="s">
        <v>22</v>
      </c>
      <c r="F32" s="15">
        <f t="shared" si="1"/>
        <v>96.162374337902349</v>
      </c>
      <c r="H32" s="15">
        <v>11</v>
      </c>
      <c r="I32" s="15">
        <v>11</v>
      </c>
      <c r="J32" s="16">
        <f t="shared" si="5"/>
        <v>43.925448209603076</v>
      </c>
      <c r="K32" s="15">
        <f t="shared" si="6"/>
        <v>62.369847845724053</v>
      </c>
      <c r="L32" s="15" t="s">
        <v>335</v>
      </c>
      <c r="M32" s="15">
        <f t="shared" si="2"/>
        <v>96.995900596523029</v>
      </c>
    </row>
    <row r="33" spans="1:13" x14ac:dyDescent="0.3">
      <c r="A33" s="15">
        <v>12</v>
      </c>
      <c r="B33" s="15">
        <v>12</v>
      </c>
      <c r="C33" s="16">
        <f t="shared" si="3"/>
        <v>30.555034410476082</v>
      </c>
      <c r="D33" s="15">
        <f t="shared" si="4"/>
        <v>52.917512763520051</v>
      </c>
      <c r="E33" s="15" t="s">
        <v>22</v>
      </c>
      <c r="F33" s="15">
        <f t="shared" si="1"/>
        <v>95.888672214747317</v>
      </c>
      <c r="H33" s="15">
        <v>12</v>
      </c>
      <c r="I33" s="15">
        <v>12</v>
      </c>
      <c r="J33" s="16">
        <f t="shared" si="5"/>
        <v>40.555034410476082</v>
      </c>
      <c r="K33" s="15">
        <f t="shared" si="6"/>
        <v>58.948924922608057</v>
      </c>
      <c r="L33" s="15" t="s">
        <v>335</v>
      </c>
      <c r="M33" s="15">
        <f t="shared" si="2"/>
        <v>96.722198473367996</v>
      </c>
    </row>
    <row r="34" spans="1:13" x14ac:dyDescent="0.3">
      <c r="A34" s="15">
        <v>13</v>
      </c>
      <c r="B34" s="15">
        <v>13</v>
      </c>
      <c r="C34" s="16">
        <f t="shared" si="3"/>
        <v>27.184620611349089</v>
      </c>
      <c r="D34" s="15">
        <f t="shared" si="4"/>
        <v>48.993972160480055</v>
      </c>
      <c r="E34" s="15" t="s">
        <v>22</v>
      </c>
      <c r="F34" s="15">
        <f t="shared" si="1"/>
        <v>95.614970091592284</v>
      </c>
      <c r="H34" s="15">
        <v>13</v>
      </c>
      <c r="I34" s="15">
        <v>13</v>
      </c>
      <c r="J34" s="16">
        <f t="shared" si="5"/>
        <v>37.184620611349089</v>
      </c>
      <c r="K34" s="15">
        <f t="shared" si="6"/>
        <v>55.528001999492062</v>
      </c>
      <c r="L34" s="15" t="s">
        <v>335</v>
      </c>
      <c r="M34" s="15">
        <f t="shared" si="2"/>
        <v>96.448496350212963</v>
      </c>
    </row>
    <row r="35" spans="1:13" x14ac:dyDescent="0.3">
      <c r="A35" s="15">
        <v>14</v>
      </c>
      <c r="B35" s="15">
        <v>14</v>
      </c>
      <c r="C35" s="16">
        <f t="shared" si="3"/>
        <v>23.814206812222096</v>
      </c>
      <c r="D35" s="15">
        <f t="shared" si="4"/>
        <v>45.07043155744006</v>
      </c>
      <c r="E35" s="15" t="s">
        <v>22</v>
      </c>
      <c r="F35" s="15">
        <f t="shared" si="1"/>
        <v>95.341267968437251</v>
      </c>
      <c r="H35" s="15">
        <v>14</v>
      </c>
      <c r="I35" s="15">
        <v>14</v>
      </c>
      <c r="J35" s="16">
        <f t="shared" si="5"/>
        <v>33.814206812222096</v>
      </c>
      <c r="K35" s="15">
        <f t="shared" si="6"/>
        <v>52.107079076376067</v>
      </c>
      <c r="L35" s="15" t="s">
        <v>335</v>
      </c>
      <c r="M35" s="15">
        <f t="shared" si="2"/>
        <v>96.174794227057944</v>
      </c>
    </row>
    <row r="36" spans="1:13" x14ac:dyDescent="0.3">
      <c r="A36" s="15">
        <v>15</v>
      </c>
      <c r="B36" s="15">
        <v>15</v>
      </c>
      <c r="C36" s="16">
        <f t="shared" si="3"/>
        <v>20.443793013095103</v>
      </c>
      <c r="D36" s="15">
        <f t="shared" si="4"/>
        <v>41.146890954400064</v>
      </c>
      <c r="E36" s="15" t="s">
        <v>22</v>
      </c>
      <c r="F36" s="15">
        <f t="shared" si="1"/>
        <v>95.067565845282232</v>
      </c>
      <c r="H36" s="15">
        <v>15</v>
      </c>
      <c r="I36" s="15">
        <v>15</v>
      </c>
      <c r="J36" s="16">
        <f t="shared" si="5"/>
        <v>30.443793013095103</v>
      </c>
      <c r="K36" s="15">
        <f t="shared" si="6"/>
        <v>48.686156153260072</v>
      </c>
      <c r="L36" s="15" t="s">
        <v>335</v>
      </c>
      <c r="M36" s="15">
        <f t="shared" si="2"/>
        <v>95.901092103902911</v>
      </c>
    </row>
    <row r="37" spans="1:13" x14ac:dyDescent="0.3">
      <c r="A37" s="15">
        <v>16</v>
      </c>
      <c r="B37" s="15">
        <v>16</v>
      </c>
      <c r="C37" s="16">
        <f t="shared" si="3"/>
        <v>17.07337921396811</v>
      </c>
      <c r="D37" s="15">
        <f>D36-$C$5</f>
        <v>37.223350351360068</v>
      </c>
      <c r="E37" s="15" t="s">
        <v>22</v>
      </c>
      <c r="F37" s="15">
        <f t="shared" si="1"/>
        <v>94.793863722127199</v>
      </c>
      <c r="H37" s="15">
        <v>16</v>
      </c>
      <c r="I37" s="15">
        <v>16</v>
      </c>
      <c r="J37" s="16">
        <f t="shared" si="5"/>
        <v>27.07337921396811</v>
      </c>
      <c r="K37" s="15">
        <f t="shared" si="6"/>
        <v>45.265233230144077</v>
      </c>
      <c r="L37" s="15" t="s">
        <v>335</v>
      </c>
      <c r="M37" s="15">
        <f t="shared" si="2"/>
        <v>95.627389980747878</v>
      </c>
    </row>
    <row r="38" spans="1:13" x14ac:dyDescent="0.3">
      <c r="A38" s="15">
        <v>17</v>
      </c>
      <c r="B38" s="15">
        <v>17</v>
      </c>
      <c r="C38" s="16">
        <f t="shared" si="3"/>
        <v>13.702965414841117</v>
      </c>
      <c r="D38" s="15">
        <f t="shared" si="4"/>
        <v>33.299809748320072</v>
      </c>
      <c r="E38" s="15" t="s">
        <v>22</v>
      </c>
      <c r="F38" s="15">
        <f t="shared" si="1"/>
        <v>94.520161598972166</v>
      </c>
      <c r="H38" s="15">
        <v>17</v>
      </c>
      <c r="I38" s="15">
        <v>17</v>
      </c>
      <c r="J38" s="16">
        <f t="shared" si="5"/>
        <v>23.702965414841117</v>
      </c>
      <c r="K38" s="15">
        <f t="shared" si="6"/>
        <v>41.844310307028081</v>
      </c>
      <c r="L38" s="15" t="s">
        <v>335</v>
      </c>
      <c r="M38" s="15">
        <f t="shared" si="2"/>
        <v>95.353687857592845</v>
      </c>
    </row>
    <row r="39" spans="1:13" x14ac:dyDescent="0.3">
      <c r="A39" s="15">
        <v>18</v>
      </c>
      <c r="B39" s="15">
        <v>18</v>
      </c>
      <c r="C39" s="16">
        <f t="shared" si="3"/>
        <v>10.332551615714124</v>
      </c>
      <c r="D39" s="15">
        <f>D38-$C$5</f>
        <v>29.376269145280077</v>
      </c>
      <c r="E39" s="15" t="s">
        <v>22</v>
      </c>
      <c r="F39" s="15">
        <f t="shared" si="1"/>
        <v>94.246459475817133</v>
      </c>
      <c r="H39" s="15">
        <v>18</v>
      </c>
      <c r="I39" s="15">
        <v>18</v>
      </c>
      <c r="J39" s="16">
        <f t="shared" si="5"/>
        <v>20.332551615714124</v>
      </c>
      <c r="K39" s="15">
        <f t="shared" si="6"/>
        <v>38.423387383912086</v>
      </c>
      <c r="L39" s="15" t="s">
        <v>335</v>
      </c>
      <c r="M39" s="15">
        <f t="shared" si="2"/>
        <v>95.079985734437827</v>
      </c>
    </row>
    <row r="40" spans="1:13" x14ac:dyDescent="0.3">
      <c r="A40" s="15">
        <v>19</v>
      </c>
      <c r="B40" s="15">
        <v>19</v>
      </c>
      <c r="C40" s="16">
        <f t="shared" si="3"/>
        <v>6.9621378165871306</v>
      </c>
      <c r="D40" s="15">
        <f t="shared" si="4"/>
        <v>25.452728542240081</v>
      </c>
      <c r="E40" s="15" t="s">
        <v>22</v>
      </c>
      <c r="F40" s="15">
        <f t="shared" si="1"/>
        <v>93.972757352662114</v>
      </c>
      <c r="H40" s="15">
        <v>19</v>
      </c>
      <c r="I40" s="15">
        <v>19</v>
      </c>
      <c r="J40" s="16">
        <f t="shared" si="5"/>
        <v>16.962137816587131</v>
      </c>
      <c r="K40" s="15">
        <f t="shared" si="6"/>
        <v>35.002464460796091</v>
      </c>
      <c r="L40" s="15" t="s">
        <v>335</v>
      </c>
      <c r="M40" s="15">
        <f t="shared" si="2"/>
        <v>94.806283611282794</v>
      </c>
    </row>
    <row r="41" spans="1:13" x14ac:dyDescent="0.3">
      <c r="A41" s="15">
        <v>20</v>
      </c>
      <c r="B41" s="15">
        <v>20</v>
      </c>
      <c r="C41" s="16">
        <f t="shared" si="3"/>
        <v>3.5917240174601375</v>
      </c>
      <c r="D41" s="15">
        <f t="shared" si="4"/>
        <v>21.529187939200085</v>
      </c>
      <c r="E41" s="15" t="s">
        <v>22</v>
      </c>
      <c r="F41" s="15">
        <f t="shared" si="1"/>
        <v>93.699055229507081</v>
      </c>
      <c r="H41" s="15">
        <v>20</v>
      </c>
      <c r="I41" s="15">
        <v>20</v>
      </c>
      <c r="J41" s="16">
        <f t="shared" si="5"/>
        <v>13.591724017460137</v>
      </c>
      <c r="K41" s="15">
        <f t="shared" si="6"/>
        <v>31.581541537680096</v>
      </c>
      <c r="L41" s="15" t="s">
        <v>335</v>
      </c>
      <c r="M41" s="15">
        <f t="shared" si="2"/>
        <v>94.532581488127761</v>
      </c>
    </row>
    <row r="42" spans="1:13" x14ac:dyDescent="0.3">
      <c r="A42" s="15">
        <v>21</v>
      </c>
      <c r="B42" s="15">
        <v>21</v>
      </c>
      <c r="C42" s="16">
        <f t="shared" si="3"/>
        <v>0.22131021833314435</v>
      </c>
      <c r="D42" s="15">
        <f t="shared" si="4"/>
        <v>17.605647336160089</v>
      </c>
      <c r="E42" s="15" t="s">
        <v>22</v>
      </c>
      <c r="F42" s="15">
        <f t="shared" si="1"/>
        <v>93.425353106352048</v>
      </c>
      <c r="H42" s="15">
        <v>21</v>
      </c>
      <c r="I42" s="15">
        <v>21</v>
      </c>
      <c r="J42" s="16">
        <f t="shared" si="5"/>
        <v>10.221310218333144</v>
      </c>
      <c r="K42" s="15">
        <f t="shared" si="6"/>
        <v>28.1606186145641</v>
      </c>
      <c r="L42" s="15" t="s">
        <v>335</v>
      </c>
      <c r="M42" s="15">
        <f t="shared" si="2"/>
        <v>94.258879364972728</v>
      </c>
    </row>
    <row r="43" spans="1:13" x14ac:dyDescent="0.3">
      <c r="A43" s="17">
        <v>1</v>
      </c>
      <c r="B43" s="17">
        <v>22</v>
      </c>
      <c r="C43" s="18">
        <f>71-$C$3</f>
        <v>67.629586200873007</v>
      </c>
      <c r="D43" s="17">
        <f>100-$C$5</f>
        <v>96.076459396960004</v>
      </c>
      <c r="E43" s="17" t="s">
        <v>22</v>
      </c>
      <c r="F43" s="17">
        <f t="shared" si="1"/>
        <v>98.899395569452636</v>
      </c>
      <c r="H43" s="15">
        <v>22</v>
      </c>
      <c r="I43" s="15">
        <v>22</v>
      </c>
      <c r="J43" s="16">
        <f t="shared" si="5"/>
        <v>6.8508964192061512</v>
      </c>
      <c r="K43" s="15">
        <f t="shared" si="6"/>
        <v>24.739695691448105</v>
      </c>
      <c r="L43" s="15" t="s">
        <v>335</v>
      </c>
      <c r="M43" s="15">
        <f t="shared" si="2"/>
        <v>93.985177241817709</v>
      </c>
    </row>
    <row r="44" spans="1:13" x14ac:dyDescent="0.3">
      <c r="A44" s="15">
        <v>2</v>
      </c>
      <c r="B44" s="15">
        <v>23</v>
      </c>
      <c r="C44" s="16">
        <f>C43-$C$3</f>
        <v>64.259172401746014</v>
      </c>
      <c r="D44" s="15">
        <f>D43-$C$5</f>
        <v>92.152918793920009</v>
      </c>
      <c r="E44" s="15" t="s">
        <v>22</v>
      </c>
      <c r="F44" s="15">
        <f t="shared" si="1"/>
        <v>98.625693446297603</v>
      </c>
      <c r="H44" s="15">
        <v>23</v>
      </c>
      <c r="I44" s="15">
        <v>23</v>
      </c>
      <c r="J44" s="16">
        <f t="shared" si="5"/>
        <v>3.4804826200791581</v>
      </c>
      <c r="K44" s="15">
        <f t="shared" si="6"/>
        <v>21.31877276833211</v>
      </c>
      <c r="L44" s="15" t="s">
        <v>335</v>
      </c>
      <c r="M44" s="15">
        <f t="shared" si="2"/>
        <v>93.711475118662676</v>
      </c>
    </row>
    <row r="45" spans="1:13" x14ac:dyDescent="0.3">
      <c r="A45" s="15">
        <v>3</v>
      </c>
      <c r="B45" s="15">
        <v>24</v>
      </c>
      <c r="C45" s="16">
        <f t="shared" ref="C45:C63" si="7">C44-$C$3</f>
        <v>60.888758602619021</v>
      </c>
      <c r="D45" s="15">
        <f t="shared" ref="D45:D63" si="8">D44-$C$5</f>
        <v>88.229378190880013</v>
      </c>
      <c r="E45" s="15" t="s">
        <v>22</v>
      </c>
      <c r="F45" s="15">
        <f t="shared" si="1"/>
        <v>98.351991323142585</v>
      </c>
      <c r="H45" s="15">
        <v>24</v>
      </c>
      <c r="I45" s="15">
        <v>24</v>
      </c>
      <c r="J45" s="16">
        <f t="shared" si="5"/>
        <v>0.11006882095216497</v>
      </c>
      <c r="K45" s="15">
        <f t="shared" si="6"/>
        <v>17.897849845216115</v>
      </c>
      <c r="L45" s="15" t="s">
        <v>335</v>
      </c>
      <c r="M45" s="15">
        <f t="shared" si="2"/>
        <v>93.437772995507643</v>
      </c>
    </row>
    <row r="46" spans="1:13" x14ac:dyDescent="0.3">
      <c r="A46" s="15">
        <v>4</v>
      </c>
      <c r="B46" s="15">
        <v>25</v>
      </c>
      <c r="C46" s="16">
        <f t="shared" si="7"/>
        <v>57.518344803492027</v>
      </c>
      <c r="D46" s="15">
        <f t="shared" si="8"/>
        <v>84.305837587840017</v>
      </c>
      <c r="E46" s="15" t="s">
        <v>22</v>
      </c>
      <c r="F46" s="15">
        <f t="shared" si="1"/>
        <v>98.078289199987552</v>
      </c>
      <c r="H46" s="17">
        <v>1</v>
      </c>
      <c r="I46" s="17">
        <v>25</v>
      </c>
      <c r="J46" s="18">
        <f>78-$C$3</f>
        <v>74.629586200873007</v>
      </c>
      <c r="K46" s="17">
        <f>100-$C$5</f>
        <v>96.076459396960004</v>
      </c>
      <c r="L46" s="17" t="s">
        <v>22</v>
      </c>
      <c r="M46" s="17">
        <f t="shared" ref="M46:M68" si="9">$D$13+J46*$H$8</f>
        <v>99.467846500487127</v>
      </c>
    </row>
    <row r="47" spans="1:13" x14ac:dyDescent="0.3">
      <c r="A47" s="15">
        <v>5</v>
      </c>
      <c r="B47" s="15">
        <v>26</v>
      </c>
      <c r="C47" s="16">
        <f t="shared" si="7"/>
        <v>54.147931004365034</v>
      </c>
      <c r="D47" s="15">
        <f t="shared" si="8"/>
        <v>80.382296984800021</v>
      </c>
      <c r="E47" s="15" t="s">
        <v>22</v>
      </c>
      <c r="F47" s="15">
        <f t="shared" si="1"/>
        <v>97.804587076832519</v>
      </c>
      <c r="H47" s="15">
        <v>2</v>
      </c>
      <c r="I47" s="15">
        <v>26</v>
      </c>
      <c r="J47" s="16">
        <f t="shared" ref="J47:J68" si="10">J46-$C$3</f>
        <v>71.259172401746014</v>
      </c>
      <c r="K47" s="15">
        <f t="shared" ref="K47:K57" si="11">K46-$C$5</f>
        <v>92.152918793920009</v>
      </c>
      <c r="L47" s="15" t="s">
        <v>22</v>
      </c>
      <c r="M47" s="15">
        <f t="shared" si="9"/>
        <v>99.194144377332094</v>
      </c>
    </row>
    <row r="48" spans="1:13" x14ac:dyDescent="0.3">
      <c r="A48" s="15">
        <v>6</v>
      </c>
      <c r="B48" s="15">
        <v>27</v>
      </c>
      <c r="C48" s="16">
        <f t="shared" si="7"/>
        <v>50.777517205238041</v>
      </c>
      <c r="D48" s="15">
        <f t="shared" si="8"/>
        <v>76.458756381760026</v>
      </c>
      <c r="E48" s="15" t="s">
        <v>22</v>
      </c>
      <c r="F48" s="15">
        <f t="shared" si="1"/>
        <v>97.530884953677486</v>
      </c>
      <c r="H48" s="15">
        <v>3</v>
      </c>
      <c r="I48" s="15">
        <v>27</v>
      </c>
      <c r="J48" s="16">
        <f t="shared" si="10"/>
        <v>67.888758602619021</v>
      </c>
      <c r="K48" s="15">
        <f t="shared" si="11"/>
        <v>88.229378190880013</v>
      </c>
      <c r="L48" s="15" t="s">
        <v>22</v>
      </c>
      <c r="M48" s="15">
        <f t="shared" si="9"/>
        <v>98.920442254177061</v>
      </c>
    </row>
    <row r="49" spans="1:13" x14ac:dyDescent="0.3">
      <c r="A49" s="15">
        <v>7</v>
      </c>
      <c r="B49" s="15">
        <v>28</v>
      </c>
      <c r="C49" s="16">
        <f t="shared" si="7"/>
        <v>47.407103406111048</v>
      </c>
      <c r="D49" s="15">
        <f t="shared" si="8"/>
        <v>72.53521577872003</v>
      </c>
      <c r="E49" s="15" t="s">
        <v>22</v>
      </c>
      <c r="F49" s="15">
        <f t="shared" si="1"/>
        <v>97.257182830522467</v>
      </c>
      <c r="H49" s="15">
        <v>4</v>
      </c>
      <c r="I49" s="15">
        <v>28</v>
      </c>
      <c r="J49" s="16">
        <f t="shared" si="10"/>
        <v>64.518344803492027</v>
      </c>
      <c r="K49" s="15">
        <f t="shared" si="11"/>
        <v>84.305837587840017</v>
      </c>
      <c r="L49" s="15" t="s">
        <v>22</v>
      </c>
      <c r="M49" s="15">
        <f t="shared" si="9"/>
        <v>98.646740131022028</v>
      </c>
    </row>
    <row r="50" spans="1:13" x14ac:dyDescent="0.3">
      <c r="A50" s="15">
        <v>8</v>
      </c>
      <c r="B50" s="15">
        <v>29</v>
      </c>
      <c r="C50" s="16">
        <f t="shared" si="7"/>
        <v>44.036689606984055</v>
      </c>
      <c r="D50" s="15">
        <f t="shared" si="8"/>
        <v>68.611675175680034</v>
      </c>
      <c r="E50" s="15" t="s">
        <v>22</v>
      </c>
      <c r="F50" s="15">
        <f t="shared" si="1"/>
        <v>96.983480707367434</v>
      </c>
      <c r="H50" s="15">
        <v>5</v>
      </c>
      <c r="I50" s="15">
        <v>29</v>
      </c>
      <c r="J50" s="16">
        <f t="shared" si="10"/>
        <v>61.147931004365034</v>
      </c>
      <c r="K50" s="15">
        <f t="shared" si="11"/>
        <v>80.382296984800021</v>
      </c>
      <c r="L50" s="15" t="s">
        <v>22</v>
      </c>
      <c r="M50" s="15">
        <f t="shared" si="9"/>
        <v>98.373038007867009</v>
      </c>
    </row>
    <row r="51" spans="1:13" x14ac:dyDescent="0.3">
      <c r="A51" s="15">
        <v>9</v>
      </c>
      <c r="B51" s="15">
        <v>30</v>
      </c>
      <c r="C51" s="16">
        <f t="shared" si="7"/>
        <v>40.666275807857062</v>
      </c>
      <c r="D51" s="15">
        <f t="shared" si="8"/>
        <v>64.688134572640038</v>
      </c>
      <c r="E51" s="15" t="s">
        <v>22</v>
      </c>
      <c r="F51" s="15">
        <f t="shared" si="1"/>
        <v>96.709778584212401</v>
      </c>
      <c r="H51" s="15">
        <v>6</v>
      </c>
      <c r="I51" s="15">
        <v>30</v>
      </c>
      <c r="J51" s="16">
        <f t="shared" si="10"/>
        <v>57.777517205238041</v>
      </c>
      <c r="K51" s="15">
        <f t="shared" si="11"/>
        <v>76.458756381760026</v>
      </c>
      <c r="L51" s="15" t="s">
        <v>22</v>
      </c>
      <c r="M51" s="15">
        <f t="shared" si="9"/>
        <v>98.099335884711977</v>
      </c>
    </row>
    <row r="52" spans="1:13" x14ac:dyDescent="0.3">
      <c r="A52" s="15">
        <v>10</v>
      </c>
      <c r="B52" s="15">
        <v>31</v>
      </c>
      <c r="C52" s="16">
        <f t="shared" si="7"/>
        <v>37.295862008730069</v>
      </c>
      <c r="D52" s="15">
        <f t="shared" si="8"/>
        <v>60.764593969600043</v>
      </c>
      <c r="E52" s="15" t="s">
        <v>22</v>
      </c>
      <c r="F52" s="15">
        <f t="shared" si="1"/>
        <v>96.436076461057368</v>
      </c>
      <c r="H52" s="15">
        <v>7</v>
      </c>
      <c r="I52" s="15">
        <v>31</v>
      </c>
      <c r="J52" s="16">
        <f t="shared" si="10"/>
        <v>54.407103406111048</v>
      </c>
      <c r="K52" s="15">
        <f t="shared" si="11"/>
        <v>72.53521577872003</v>
      </c>
      <c r="L52" s="15" t="s">
        <v>22</v>
      </c>
      <c r="M52" s="15">
        <f t="shared" si="9"/>
        <v>97.825633761556944</v>
      </c>
    </row>
    <row r="53" spans="1:13" x14ac:dyDescent="0.3">
      <c r="A53" s="15">
        <v>11</v>
      </c>
      <c r="B53" s="15">
        <v>32</v>
      </c>
      <c r="C53" s="16">
        <f t="shared" si="7"/>
        <v>33.925448209603076</v>
      </c>
      <c r="D53" s="15">
        <f t="shared" si="8"/>
        <v>56.841053366560047</v>
      </c>
      <c r="E53" s="15" t="s">
        <v>22</v>
      </c>
      <c r="F53" s="15">
        <f t="shared" si="1"/>
        <v>96.162374337902349</v>
      </c>
      <c r="H53" s="15">
        <v>8</v>
      </c>
      <c r="I53" s="15">
        <v>32</v>
      </c>
      <c r="J53" s="16">
        <f t="shared" si="10"/>
        <v>51.036689606984055</v>
      </c>
      <c r="K53" s="15">
        <f t="shared" si="11"/>
        <v>68.611675175680034</v>
      </c>
      <c r="L53" s="15" t="s">
        <v>22</v>
      </c>
      <c r="M53" s="15">
        <f t="shared" si="9"/>
        <v>97.551931638401911</v>
      </c>
    </row>
    <row r="54" spans="1:13" x14ac:dyDescent="0.3">
      <c r="A54" s="15">
        <v>12</v>
      </c>
      <c r="B54" s="15">
        <v>33</v>
      </c>
      <c r="C54" s="16">
        <f t="shared" si="7"/>
        <v>30.555034410476082</v>
      </c>
      <c r="D54" s="15">
        <f t="shared" si="8"/>
        <v>52.917512763520051</v>
      </c>
      <c r="E54" s="15" t="s">
        <v>22</v>
      </c>
      <c r="F54" s="15">
        <f t="shared" si="1"/>
        <v>95.888672214747317</v>
      </c>
      <c r="H54" s="15">
        <v>9</v>
      </c>
      <c r="I54" s="15">
        <v>33</v>
      </c>
      <c r="J54" s="16">
        <f t="shared" si="10"/>
        <v>47.666275807857062</v>
      </c>
      <c r="K54" s="15">
        <f t="shared" si="11"/>
        <v>64.688134572640038</v>
      </c>
      <c r="L54" s="15" t="s">
        <v>22</v>
      </c>
      <c r="M54" s="15">
        <f t="shared" si="9"/>
        <v>97.278229515246892</v>
      </c>
    </row>
    <row r="55" spans="1:13" x14ac:dyDescent="0.3">
      <c r="A55" s="15">
        <v>13</v>
      </c>
      <c r="B55" s="15">
        <v>34</v>
      </c>
      <c r="C55" s="16">
        <f t="shared" si="7"/>
        <v>27.184620611349089</v>
      </c>
      <c r="D55" s="15">
        <f t="shared" si="8"/>
        <v>48.993972160480055</v>
      </c>
      <c r="E55" s="15" t="s">
        <v>22</v>
      </c>
      <c r="F55" s="15">
        <f t="shared" si="1"/>
        <v>95.614970091592284</v>
      </c>
      <c r="H55" s="15">
        <v>10</v>
      </c>
      <c r="I55" s="15">
        <v>34</v>
      </c>
      <c r="J55" s="16">
        <f t="shared" si="10"/>
        <v>44.295862008730069</v>
      </c>
      <c r="K55" s="15">
        <f t="shared" si="11"/>
        <v>60.764593969600043</v>
      </c>
      <c r="L55" s="15" t="s">
        <v>22</v>
      </c>
      <c r="M55" s="15">
        <f t="shared" si="9"/>
        <v>97.004527392091859</v>
      </c>
    </row>
    <row r="56" spans="1:13" x14ac:dyDescent="0.3">
      <c r="A56" s="15">
        <v>14</v>
      </c>
      <c r="B56" s="15">
        <v>35</v>
      </c>
      <c r="C56" s="16">
        <f t="shared" si="7"/>
        <v>23.814206812222096</v>
      </c>
      <c r="D56" s="15">
        <f t="shared" si="8"/>
        <v>45.07043155744006</v>
      </c>
      <c r="E56" s="15" t="s">
        <v>22</v>
      </c>
      <c r="F56" s="15">
        <f t="shared" si="1"/>
        <v>95.341267968437251</v>
      </c>
      <c r="H56" s="15">
        <v>11</v>
      </c>
      <c r="I56" s="15">
        <v>35</v>
      </c>
      <c r="J56" s="16">
        <f t="shared" si="10"/>
        <v>40.925448209603076</v>
      </c>
      <c r="K56" s="15">
        <f t="shared" si="11"/>
        <v>56.841053366560047</v>
      </c>
      <c r="L56" s="15" t="s">
        <v>22</v>
      </c>
      <c r="M56" s="15">
        <f t="shared" si="9"/>
        <v>96.730825268936826</v>
      </c>
    </row>
    <row r="57" spans="1:13" x14ac:dyDescent="0.3">
      <c r="A57" s="15">
        <v>15</v>
      </c>
      <c r="B57" s="15">
        <v>36</v>
      </c>
      <c r="C57" s="16">
        <f t="shared" si="7"/>
        <v>20.443793013095103</v>
      </c>
      <c r="D57" s="15">
        <f t="shared" si="8"/>
        <v>41.146890954400064</v>
      </c>
      <c r="E57" s="15" t="s">
        <v>22</v>
      </c>
      <c r="F57" s="15">
        <f t="shared" si="1"/>
        <v>95.067565845282232</v>
      </c>
      <c r="H57" s="15">
        <v>12</v>
      </c>
      <c r="I57" s="15">
        <v>36</v>
      </c>
      <c r="J57" s="16">
        <f t="shared" si="10"/>
        <v>37.555034410476082</v>
      </c>
      <c r="K57" s="15">
        <f t="shared" si="11"/>
        <v>52.917512763520051</v>
      </c>
      <c r="L57" s="15" t="s">
        <v>22</v>
      </c>
      <c r="M57" s="15">
        <f t="shared" si="9"/>
        <v>96.457123145781793</v>
      </c>
    </row>
    <row r="58" spans="1:13" x14ac:dyDescent="0.3">
      <c r="A58" s="15">
        <v>16</v>
      </c>
      <c r="B58" s="15">
        <v>37</v>
      </c>
      <c r="C58" s="16">
        <f t="shared" si="7"/>
        <v>17.07337921396811</v>
      </c>
      <c r="D58" s="15">
        <f>D57-$C$5</f>
        <v>37.223350351360068</v>
      </c>
      <c r="E58" s="15" t="s">
        <v>22</v>
      </c>
      <c r="F58" s="15">
        <f t="shared" si="1"/>
        <v>94.793863722127199</v>
      </c>
      <c r="H58" s="15">
        <v>13</v>
      </c>
      <c r="I58" s="15">
        <v>37</v>
      </c>
      <c r="J58" s="16">
        <f t="shared" si="10"/>
        <v>34.184620611349089</v>
      </c>
      <c r="K58" s="15">
        <f>K57-$C$5</f>
        <v>48.993972160480055</v>
      </c>
      <c r="L58" s="15" t="s">
        <v>22</v>
      </c>
      <c r="M58" s="15">
        <f t="shared" si="9"/>
        <v>96.183421022626774</v>
      </c>
    </row>
    <row r="59" spans="1:13" x14ac:dyDescent="0.3">
      <c r="A59" s="15">
        <v>17</v>
      </c>
      <c r="B59" s="15">
        <v>38</v>
      </c>
      <c r="C59" s="16">
        <f t="shared" si="7"/>
        <v>13.702965414841117</v>
      </c>
      <c r="D59" s="15">
        <f t="shared" si="8"/>
        <v>33.299809748320072</v>
      </c>
      <c r="E59" s="15" t="s">
        <v>22</v>
      </c>
      <c r="F59" s="15">
        <f t="shared" si="1"/>
        <v>94.520161598972166</v>
      </c>
      <c r="H59" s="15">
        <v>14</v>
      </c>
      <c r="I59" s="15">
        <v>38</v>
      </c>
      <c r="J59" s="16">
        <f t="shared" si="10"/>
        <v>30.814206812222096</v>
      </c>
      <c r="K59" s="15">
        <f t="shared" ref="K59" si="12">K58-$C$5</f>
        <v>45.07043155744006</v>
      </c>
      <c r="L59" s="15" t="s">
        <v>22</v>
      </c>
      <c r="M59" s="15">
        <f t="shared" si="9"/>
        <v>95.909718899471741</v>
      </c>
    </row>
    <row r="60" spans="1:13" x14ac:dyDescent="0.3">
      <c r="A60" s="15">
        <v>18</v>
      </c>
      <c r="B60" s="15">
        <v>39</v>
      </c>
      <c r="C60" s="16">
        <f t="shared" si="7"/>
        <v>10.332551615714124</v>
      </c>
      <c r="D60" s="15">
        <f>D59-$C$5</f>
        <v>29.376269145280077</v>
      </c>
      <c r="E60" s="15" t="s">
        <v>22</v>
      </c>
      <c r="F60" s="15">
        <f t="shared" si="1"/>
        <v>94.246459475817133</v>
      </c>
      <c r="H60" s="15">
        <v>15</v>
      </c>
      <c r="I60" s="15">
        <v>39</v>
      </c>
      <c r="J60" s="16">
        <f t="shared" si="10"/>
        <v>27.443793013095103</v>
      </c>
      <c r="K60" s="15">
        <f>K59-$C$5</f>
        <v>41.146890954400064</v>
      </c>
      <c r="L60" s="15" t="s">
        <v>22</v>
      </c>
      <c r="M60" s="15">
        <f t="shared" si="9"/>
        <v>95.636016776316708</v>
      </c>
    </row>
    <row r="61" spans="1:13" x14ac:dyDescent="0.3">
      <c r="A61" s="15">
        <v>19</v>
      </c>
      <c r="B61" s="15">
        <v>40</v>
      </c>
      <c r="C61" s="16">
        <f t="shared" si="7"/>
        <v>6.9621378165871306</v>
      </c>
      <c r="D61" s="15">
        <f t="shared" si="8"/>
        <v>25.452728542240081</v>
      </c>
      <c r="E61" s="15" t="s">
        <v>22</v>
      </c>
      <c r="F61" s="15">
        <f t="shared" si="1"/>
        <v>93.972757352662114</v>
      </c>
      <c r="H61" s="15">
        <v>16</v>
      </c>
      <c r="I61" s="15">
        <v>40</v>
      </c>
      <c r="J61" s="16">
        <f t="shared" si="10"/>
        <v>24.07337921396811</v>
      </c>
      <c r="K61" s="15">
        <f t="shared" ref="K61:K68" si="13">K60-$C$5</f>
        <v>37.223350351360068</v>
      </c>
      <c r="L61" s="15" t="s">
        <v>22</v>
      </c>
      <c r="M61" s="15">
        <f t="shared" si="9"/>
        <v>95.362314653161675</v>
      </c>
    </row>
    <row r="62" spans="1:13" x14ac:dyDescent="0.3">
      <c r="A62" s="15">
        <v>20</v>
      </c>
      <c r="B62" s="15">
        <v>41</v>
      </c>
      <c r="C62" s="16">
        <f t="shared" si="7"/>
        <v>3.5917240174601375</v>
      </c>
      <c r="D62" s="15">
        <f t="shared" si="8"/>
        <v>21.529187939200085</v>
      </c>
      <c r="E62" s="15" t="s">
        <v>22</v>
      </c>
      <c r="F62" s="15">
        <f t="shared" si="1"/>
        <v>93.699055229507081</v>
      </c>
      <c r="H62" s="15">
        <v>17</v>
      </c>
      <c r="I62" s="15">
        <v>41</v>
      </c>
      <c r="J62" s="16">
        <f t="shared" si="10"/>
        <v>20.702965414841117</v>
      </c>
      <c r="K62" s="15">
        <f t="shared" si="13"/>
        <v>33.299809748320072</v>
      </c>
      <c r="L62" s="15" t="s">
        <v>22</v>
      </c>
      <c r="M62" s="15">
        <f t="shared" si="9"/>
        <v>95.088612530006657</v>
      </c>
    </row>
    <row r="63" spans="1:13" x14ac:dyDescent="0.3">
      <c r="A63" s="15">
        <v>21</v>
      </c>
      <c r="B63" s="15">
        <v>42</v>
      </c>
      <c r="C63" s="16">
        <f t="shared" si="7"/>
        <v>0.22131021833314435</v>
      </c>
      <c r="D63" s="15">
        <f t="shared" si="8"/>
        <v>17.605647336160089</v>
      </c>
      <c r="E63" s="15" t="s">
        <v>22</v>
      </c>
      <c r="F63" s="15">
        <f t="shared" si="1"/>
        <v>93.425353106352048</v>
      </c>
      <c r="H63" s="15">
        <v>18</v>
      </c>
      <c r="I63" s="15">
        <v>42</v>
      </c>
      <c r="J63" s="16">
        <f t="shared" si="10"/>
        <v>17.332551615714124</v>
      </c>
      <c r="K63" s="15">
        <f t="shared" si="13"/>
        <v>29.376269145280077</v>
      </c>
      <c r="L63" s="15" t="s">
        <v>22</v>
      </c>
      <c r="M63" s="15">
        <f t="shared" si="9"/>
        <v>94.814910406851624</v>
      </c>
    </row>
    <row r="64" spans="1:13" x14ac:dyDescent="0.3">
      <c r="A64" s="17">
        <v>1</v>
      </c>
      <c r="B64" s="17">
        <v>43</v>
      </c>
      <c r="C64" s="18">
        <f>71-$C$3</f>
        <v>67.629586200873007</v>
      </c>
      <c r="D64" s="17">
        <f>100-$C$5</f>
        <v>96.076459396960004</v>
      </c>
      <c r="E64" s="17" t="s">
        <v>22</v>
      </c>
      <c r="F64" s="17">
        <f t="shared" si="1"/>
        <v>98.899395569452636</v>
      </c>
      <c r="H64" s="15">
        <v>19</v>
      </c>
      <c r="I64" s="15">
        <v>43</v>
      </c>
      <c r="J64" s="16">
        <f t="shared" si="10"/>
        <v>13.962137816587131</v>
      </c>
      <c r="K64" s="15">
        <f t="shared" si="13"/>
        <v>25.452728542240081</v>
      </c>
      <c r="L64" s="15" t="s">
        <v>22</v>
      </c>
      <c r="M64" s="15">
        <f t="shared" si="9"/>
        <v>94.541208283696591</v>
      </c>
    </row>
    <row r="65" spans="1:13" x14ac:dyDescent="0.3">
      <c r="A65" s="15">
        <v>2</v>
      </c>
      <c r="B65" s="15">
        <v>44</v>
      </c>
      <c r="C65" s="16">
        <f>C64-$C$3</f>
        <v>64.259172401746014</v>
      </c>
      <c r="D65" s="15">
        <f>D64-$C$5</f>
        <v>92.152918793920009</v>
      </c>
      <c r="E65" s="15" t="s">
        <v>22</v>
      </c>
      <c r="F65" s="15">
        <f t="shared" si="1"/>
        <v>98.625693446297603</v>
      </c>
      <c r="H65" s="15">
        <v>20</v>
      </c>
      <c r="I65" s="15">
        <v>44</v>
      </c>
      <c r="J65" s="16">
        <f t="shared" si="10"/>
        <v>10.591724017460137</v>
      </c>
      <c r="K65" s="15">
        <f t="shared" si="13"/>
        <v>21.529187939200085</v>
      </c>
      <c r="L65" s="15" t="s">
        <v>22</v>
      </c>
      <c r="M65" s="15">
        <f t="shared" si="9"/>
        <v>94.267506160541558</v>
      </c>
    </row>
    <row r="66" spans="1:13" x14ac:dyDescent="0.3">
      <c r="A66" s="15">
        <v>3</v>
      </c>
      <c r="B66" s="15">
        <v>45</v>
      </c>
      <c r="C66" s="16">
        <f t="shared" ref="C66:C84" si="14">C65-$C$3</f>
        <v>60.888758602619021</v>
      </c>
      <c r="D66" s="15">
        <f t="shared" ref="D66:D84" si="15">D65-$C$5</f>
        <v>88.229378190880013</v>
      </c>
      <c r="E66" s="15" t="s">
        <v>22</v>
      </c>
      <c r="F66" s="15">
        <f t="shared" si="1"/>
        <v>98.351991323142585</v>
      </c>
      <c r="H66" s="15">
        <v>21</v>
      </c>
      <c r="I66" s="15">
        <v>45</v>
      </c>
      <c r="J66" s="16">
        <f t="shared" si="10"/>
        <v>7.2213102183331443</v>
      </c>
      <c r="K66" s="15">
        <f t="shared" si="13"/>
        <v>17.605647336160089</v>
      </c>
      <c r="L66" s="15" t="s">
        <v>22</v>
      </c>
      <c r="M66" s="15">
        <f t="shared" si="9"/>
        <v>93.993804037386539</v>
      </c>
    </row>
    <row r="67" spans="1:13" x14ac:dyDescent="0.3">
      <c r="A67" s="15">
        <v>4</v>
      </c>
      <c r="B67" s="15">
        <v>46</v>
      </c>
      <c r="C67" s="16">
        <f t="shared" si="14"/>
        <v>57.518344803492027</v>
      </c>
      <c r="D67" s="15">
        <f t="shared" si="15"/>
        <v>84.305837587840017</v>
      </c>
      <c r="E67" s="15" t="s">
        <v>22</v>
      </c>
      <c r="F67" s="15">
        <f t="shared" si="1"/>
        <v>98.078289199987552</v>
      </c>
      <c r="H67" s="15">
        <v>22</v>
      </c>
      <c r="I67" s="15">
        <v>46</v>
      </c>
      <c r="J67" s="16">
        <f t="shared" si="10"/>
        <v>3.8508964192061512</v>
      </c>
      <c r="K67" s="15">
        <f t="shared" si="13"/>
        <v>13.682106733120094</v>
      </c>
      <c r="L67" s="15" t="s">
        <v>22</v>
      </c>
      <c r="M67" s="15">
        <f t="shared" si="9"/>
        <v>93.720101914231506</v>
      </c>
    </row>
    <row r="68" spans="1:13" x14ac:dyDescent="0.3">
      <c r="A68" s="15">
        <v>5</v>
      </c>
      <c r="B68" s="15">
        <v>47</v>
      </c>
      <c r="C68" s="16">
        <f t="shared" si="14"/>
        <v>54.147931004365034</v>
      </c>
      <c r="D68" s="15">
        <f t="shared" si="15"/>
        <v>80.382296984800021</v>
      </c>
      <c r="E68" s="15" t="s">
        <v>22</v>
      </c>
      <c r="F68" s="15">
        <f t="shared" si="1"/>
        <v>97.804587076832519</v>
      </c>
      <c r="H68" s="15">
        <v>23</v>
      </c>
      <c r="I68" s="15">
        <v>47</v>
      </c>
      <c r="J68" s="16">
        <f t="shared" si="10"/>
        <v>0.4804826200791581</v>
      </c>
      <c r="K68" s="15">
        <f t="shared" si="13"/>
        <v>9.7585661300800979</v>
      </c>
      <c r="L68" s="15" t="s">
        <v>22</v>
      </c>
      <c r="M68" s="15">
        <f t="shared" si="9"/>
        <v>93.446399791076473</v>
      </c>
    </row>
    <row r="69" spans="1:13" x14ac:dyDescent="0.3">
      <c r="A69" s="15">
        <v>6</v>
      </c>
      <c r="B69" s="15">
        <v>48</v>
      </c>
      <c r="C69" s="16">
        <f t="shared" si="14"/>
        <v>50.777517205238041</v>
      </c>
      <c r="D69" s="15">
        <f t="shared" si="15"/>
        <v>76.458756381760026</v>
      </c>
      <c r="E69" s="15" t="s">
        <v>22</v>
      </c>
      <c r="F69" s="15">
        <f t="shared" si="1"/>
        <v>97.530884953677486</v>
      </c>
      <c r="H69" s="17">
        <v>1</v>
      </c>
      <c r="I69" s="17">
        <v>48</v>
      </c>
      <c r="J69" s="18">
        <f>54-$C$3</f>
        <v>50.629586200873007</v>
      </c>
      <c r="K69" s="17">
        <f>100-$C$4</f>
        <v>94.017766014073999</v>
      </c>
      <c r="L69" s="17" t="s">
        <v>22</v>
      </c>
      <c r="M69" s="17">
        <f>$D$12+J69*$H$8</f>
        <v>96.705496879798105</v>
      </c>
    </row>
    <row r="70" spans="1:13" x14ac:dyDescent="0.3">
      <c r="A70" s="15">
        <v>7</v>
      </c>
      <c r="B70" s="15">
        <v>49</v>
      </c>
      <c r="C70" s="16">
        <f t="shared" si="14"/>
        <v>47.407103406111048</v>
      </c>
      <c r="D70" s="15">
        <f t="shared" si="15"/>
        <v>72.53521577872003</v>
      </c>
      <c r="E70" s="15" t="s">
        <v>22</v>
      </c>
      <c r="F70" s="15">
        <f t="shared" si="1"/>
        <v>97.257182830522467</v>
      </c>
      <c r="H70" s="15">
        <v>2</v>
      </c>
      <c r="I70" s="15">
        <v>49</v>
      </c>
      <c r="J70" s="16">
        <f t="shared" ref="J70:J84" si="16">J69-$C$3</f>
        <v>47.259172401746014</v>
      </c>
      <c r="K70" s="15">
        <f>K69-$C$4</f>
        <v>88.035532028147998</v>
      </c>
      <c r="L70" s="15" t="s">
        <v>22</v>
      </c>
      <c r="M70" s="15">
        <f t="shared" ref="M70:M84" si="17">$D$12+J70*$H$8</f>
        <v>96.431794756643072</v>
      </c>
    </row>
    <row r="71" spans="1:13" x14ac:dyDescent="0.3">
      <c r="A71" s="15">
        <v>8</v>
      </c>
      <c r="B71" s="15">
        <v>50</v>
      </c>
      <c r="C71" s="16">
        <f t="shared" si="14"/>
        <v>44.036689606984055</v>
      </c>
      <c r="D71" s="15">
        <f t="shared" si="15"/>
        <v>68.611675175680034</v>
      </c>
      <c r="E71" s="15" t="s">
        <v>22</v>
      </c>
      <c r="F71" s="15">
        <f t="shared" si="1"/>
        <v>96.983480707367434</v>
      </c>
      <c r="H71" s="15">
        <v>3</v>
      </c>
      <c r="I71" s="15">
        <v>50</v>
      </c>
      <c r="J71" s="16">
        <f t="shared" si="16"/>
        <v>43.888758602619021</v>
      </c>
      <c r="K71" s="15">
        <f t="shared" ref="K71:K84" si="18">K70-$C$4</f>
        <v>82.053298042221996</v>
      </c>
      <c r="L71" s="15" t="s">
        <v>22</v>
      </c>
      <c r="M71" s="15">
        <f t="shared" si="17"/>
        <v>96.158092633488039</v>
      </c>
    </row>
    <row r="72" spans="1:13" x14ac:dyDescent="0.3">
      <c r="A72" s="15">
        <v>9</v>
      </c>
      <c r="B72" s="15">
        <v>51</v>
      </c>
      <c r="C72" s="16">
        <f t="shared" si="14"/>
        <v>40.666275807857062</v>
      </c>
      <c r="D72" s="15">
        <f t="shared" si="15"/>
        <v>64.688134572640038</v>
      </c>
      <c r="E72" s="15" t="s">
        <v>22</v>
      </c>
      <c r="F72" s="15">
        <f t="shared" si="1"/>
        <v>96.709778584212401</v>
      </c>
      <c r="H72" s="15">
        <v>4</v>
      </c>
      <c r="I72" s="15">
        <v>51</v>
      </c>
      <c r="J72" s="16">
        <f t="shared" si="16"/>
        <v>40.518344803492027</v>
      </c>
      <c r="K72" s="15">
        <f t="shared" si="18"/>
        <v>76.071064056295995</v>
      </c>
      <c r="L72" s="15" t="s">
        <v>22</v>
      </c>
      <c r="M72" s="15">
        <f t="shared" si="17"/>
        <v>95.884390510333006</v>
      </c>
    </row>
    <row r="73" spans="1:13" x14ac:dyDescent="0.3">
      <c r="A73" s="15">
        <v>10</v>
      </c>
      <c r="B73" s="15">
        <v>52</v>
      </c>
      <c r="C73" s="16">
        <f t="shared" si="14"/>
        <v>37.295862008730069</v>
      </c>
      <c r="D73" s="15">
        <f t="shared" si="15"/>
        <v>60.764593969600043</v>
      </c>
      <c r="E73" s="15" t="s">
        <v>22</v>
      </c>
      <c r="F73" s="15">
        <f t="shared" si="1"/>
        <v>96.436076461057368</v>
      </c>
      <c r="H73" s="15">
        <v>5</v>
      </c>
      <c r="I73" s="15">
        <v>52</v>
      </c>
      <c r="J73" s="16">
        <f t="shared" si="16"/>
        <v>37.147931004365034</v>
      </c>
      <c r="K73" s="15">
        <f t="shared" si="18"/>
        <v>70.088830070369994</v>
      </c>
      <c r="L73" s="15" t="s">
        <v>22</v>
      </c>
      <c r="M73" s="15">
        <f t="shared" si="17"/>
        <v>95.610688387177987</v>
      </c>
    </row>
    <row r="74" spans="1:13" x14ac:dyDescent="0.3">
      <c r="A74" s="15">
        <v>11</v>
      </c>
      <c r="B74" s="15">
        <v>53</v>
      </c>
      <c r="C74" s="16">
        <f t="shared" si="14"/>
        <v>33.925448209603076</v>
      </c>
      <c r="D74" s="15">
        <f t="shared" si="15"/>
        <v>56.841053366560047</v>
      </c>
      <c r="E74" s="15" t="s">
        <v>22</v>
      </c>
      <c r="F74" s="15">
        <f t="shared" si="1"/>
        <v>96.162374337902349</v>
      </c>
      <c r="H74" s="15">
        <v>6</v>
      </c>
      <c r="I74" s="15">
        <v>53</v>
      </c>
      <c r="J74" s="16">
        <f t="shared" si="16"/>
        <v>33.777517205238041</v>
      </c>
      <c r="K74" s="15">
        <f t="shared" si="18"/>
        <v>64.106596084443993</v>
      </c>
      <c r="L74" s="15" t="s">
        <v>22</v>
      </c>
      <c r="M74" s="15">
        <f t="shared" si="17"/>
        <v>95.336986264022954</v>
      </c>
    </row>
    <row r="75" spans="1:13" x14ac:dyDescent="0.3">
      <c r="A75" s="15">
        <v>12</v>
      </c>
      <c r="B75" s="15">
        <v>54</v>
      </c>
      <c r="C75" s="16">
        <f t="shared" si="14"/>
        <v>30.555034410476082</v>
      </c>
      <c r="D75" s="15">
        <f t="shared" si="15"/>
        <v>52.917512763520051</v>
      </c>
      <c r="E75" s="15" t="s">
        <v>22</v>
      </c>
      <c r="F75" s="15">
        <f t="shared" si="1"/>
        <v>95.888672214747317</v>
      </c>
      <c r="H75" s="15">
        <v>7</v>
      </c>
      <c r="I75" s="15">
        <v>54</v>
      </c>
      <c r="J75" s="16">
        <f t="shared" si="16"/>
        <v>30.407103406111048</v>
      </c>
      <c r="K75" s="15">
        <f t="shared" si="18"/>
        <v>58.124362098517992</v>
      </c>
      <c r="L75" s="15" t="s">
        <v>22</v>
      </c>
      <c r="M75" s="15">
        <f t="shared" si="17"/>
        <v>95.063284140867921</v>
      </c>
    </row>
    <row r="76" spans="1:13" x14ac:dyDescent="0.3">
      <c r="A76" s="15">
        <v>13</v>
      </c>
      <c r="B76" s="15">
        <v>55</v>
      </c>
      <c r="C76" s="16">
        <f t="shared" si="14"/>
        <v>27.184620611349089</v>
      </c>
      <c r="D76" s="15">
        <f t="shared" si="15"/>
        <v>48.993972160480055</v>
      </c>
      <c r="E76" s="15" t="s">
        <v>22</v>
      </c>
      <c r="F76" s="15">
        <f t="shared" si="1"/>
        <v>95.614970091592284</v>
      </c>
      <c r="H76" s="15">
        <v>8</v>
      </c>
      <c r="I76" s="15">
        <v>55</v>
      </c>
      <c r="J76" s="16">
        <f t="shared" si="16"/>
        <v>27.036689606984055</v>
      </c>
      <c r="K76" s="15">
        <f t="shared" si="18"/>
        <v>52.14212811259199</v>
      </c>
      <c r="L76" s="15" t="s">
        <v>22</v>
      </c>
      <c r="M76" s="15">
        <f t="shared" si="17"/>
        <v>94.789582017712888</v>
      </c>
    </row>
    <row r="77" spans="1:13" x14ac:dyDescent="0.3">
      <c r="A77" s="15">
        <v>14</v>
      </c>
      <c r="B77" s="15">
        <v>56</v>
      </c>
      <c r="C77" s="16">
        <f t="shared" si="14"/>
        <v>23.814206812222096</v>
      </c>
      <c r="D77" s="15">
        <f t="shared" si="15"/>
        <v>45.07043155744006</v>
      </c>
      <c r="E77" s="15" t="s">
        <v>22</v>
      </c>
      <c r="F77" s="15">
        <f t="shared" si="1"/>
        <v>95.341267968437251</v>
      </c>
      <c r="H77" s="15">
        <v>9</v>
      </c>
      <c r="I77" s="15">
        <v>56</v>
      </c>
      <c r="J77" s="16">
        <f t="shared" si="16"/>
        <v>23.666275807857062</v>
      </c>
      <c r="K77" s="15">
        <f t="shared" si="18"/>
        <v>46.159894126665989</v>
      </c>
      <c r="L77" s="15" t="s">
        <v>22</v>
      </c>
      <c r="M77" s="15">
        <f t="shared" si="17"/>
        <v>94.51587989455787</v>
      </c>
    </row>
    <row r="78" spans="1:13" x14ac:dyDescent="0.3">
      <c r="A78" s="15">
        <v>15</v>
      </c>
      <c r="B78" s="15">
        <v>57</v>
      </c>
      <c r="C78" s="16">
        <f t="shared" si="14"/>
        <v>20.443793013095103</v>
      </c>
      <c r="D78" s="15">
        <f t="shared" si="15"/>
        <v>41.146890954400064</v>
      </c>
      <c r="E78" s="15" t="s">
        <v>22</v>
      </c>
      <c r="F78" s="15">
        <f t="shared" si="1"/>
        <v>95.067565845282232</v>
      </c>
      <c r="H78" s="15">
        <v>10</v>
      </c>
      <c r="I78" s="15">
        <v>57</v>
      </c>
      <c r="J78" s="16">
        <f t="shared" si="16"/>
        <v>20.295862008730069</v>
      </c>
      <c r="K78" s="15">
        <f t="shared" si="18"/>
        <v>40.177660140739988</v>
      </c>
      <c r="L78" s="15" t="s">
        <v>22</v>
      </c>
      <c r="M78" s="15">
        <f t="shared" si="17"/>
        <v>94.242177771402837</v>
      </c>
    </row>
    <row r="79" spans="1:13" x14ac:dyDescent="0.3">
      <c r="A79" s="15">
        <v>16</v>
      </c>
      <c r="B79" s="15">
        <v>58</v>
      </c>
      <c r="C79" s="16">
        <f t="shared" si="14"/>
        <v>17.07337921396811</v>
      </c>
      <c r="D79" s="15">
        <f>D78-$C$5</f>
        <v>37.223350351360068</v>
      </c>
      <c r="E79" s="15" t="s">
        <v>22</v>
      </c>
      <c r="F79" s="15">
        <f t="shared" si="1"/>
        <v>94.793863722127199</v>
      </c>
      <c r="H79" s="15">
        <v>11</v>
      </c>
      <c r="I79" s="15">
        <v>58</v>
      </c>
      <c r="J79" s="16">
        <f t="shared" si="16"/>
        <v>16.925448209603076</v>
      </c>
      <c r="K79" s="15">
        <f t="shared" si="18"/>
        <v>34.195426154813987</v>
      </c>
      <c r="L79" s="15" t="s">
        <v>22</v>
      </c>
      <c r="M79" s="15">
        <f t="shared" si="17"/>
        <v>93.968475648247804</v>
      </c>
    </row>
    <row r="80" spans="1:13" x14ac:dyDescent="0.3">
      <c r="A80" s="15">
        <v>17</v>
      </c>
      <c r="B80" s="15">
        <v>59</v>
      </c>
      <c r="C80" s="16">
        <f t="shared" si="14"/>
        <v>13.702965414841117</v>
      </c>
      <c r="D80" s="15">
        <f t="shared" si="15"/>
        <v>33.299809748320072</v>
      </c>
      <c r="E80" s="15" t="s">
        <v>22</v>
      </c>
      <c r="F80" s="15">
        <f t="shared" si="1"/>
        <v>94.520161598972166</v>
      </c>
      <c r="H80" s="15">
        <v>12</v>
      </c>
      <c r="I80" s="15">
        <v>59</v>
      </c>
      <c r="J80" s="16">
        <f t="shared" si="16"/>
        <v>13.555034410476082</v>
      </c>
      <c r="K80" s="15">
        <f t="shared" si="18"/>
        <v>28.213192168887986</v>
      </c>
      <c r="L80" s="15" t="s">
        <v>22</v>
      </c>
      <c r="M80" s="15">
        <f t="shared" si="17"/>
        <v>93.694773525092771</v>
      </c>
    </row>
    <row r="81" spans="1:13" x14ac:dyDescent="0.3">
      <c r="A81" s="15">
        <v>18</v>
      </c>
      <c r="B81" s="15">
        <v>60</v>
      </c>
      <c r="C81" s="16">
        <f t="shared" si="14"/>
        <v>10.332551615714124</v>
      </c>
      <c r="D81" s="15">
        <f>D80-$C$5</f>
        <v>29.376269145280077</v>
      </c>
      <c r="E81" s="15" t="s">
        <v>22</v>
      </c>
      <c r="F81" s="15">
        <f t="shared" si="1"/>
        <v>94.246459475817133</v>
      </c>
      <c r="H81" s="15">
        <v>13</v>
      </c>
      <c r="I81" s="15">
        <v>60</v>
      </c>
      <c r="J81" s="16">
        <f t="shared" si="16"/>
        <v>10.184620611349089</v>
      </c>
      <c r="K81" s="15">
        <f t="shared" si="18"/>
        <v>22.230958182961984</v>
      </c>
      <c r="L81" s="15" t="s">
        <v>22</v>
      </c>
      <c r="M81" s="15">
        <f t="shared" si="17"/>
        <v>93.421071401937752</v>
      </c>
    </row>
    <row r="82" spans="1:13" x14ac:dyDescent="0.3">
      <c r="A82" s="15">
        <v>19</v>
      </c>
      <c r="B82" s="15">
        <v>61</v>
      </c>
      <c r="C82" s="16">
        <f t="shared" si="14"/>
        <v>6.9621378165871306</v>
      </c>
      <c r="D82" s="15">
        <f t="shared" si="15"/>
        <v>25.452728542240081</v>
      </c>
      <c r="E82" s="15" t="s">
        <v>22</v>
      </c>
      <c r="F82" s="15">
        <f t="shared" si="1"/>
        <v>93.972757352662114</v>
      </c>
      <c r="H82" s="15">
        <v>14</v>
      </c>
      <c r="I82" s="15">
        <v>61</v>
      </c>
      <c r="J82" s="16">
        <f t="shared" si="16"/>
        <v>6.8142068122220962</v>
      </c>
      <c r="K82" s="15">
        <f t="shared" si="18"/>
        <v>16.248724197035983</v>
      </c>
      <c r="L82" s="15" t="s">
        <v>22</v>
      </c>
      <c r="M82" s="15">
        <f t="shared" si="17"/>
        <v>93.147369278782719</v>
      </c>
    </row>
    <row r="83" spans="1:13" x14ac:dyDescent="0.3">
      <c r="A83" s="15">
        <v>20</v>
      </c>
      <c r="B83" s="15">
        <v>62</v>
      </c>
      <c r="C83" s="16">
        <f t="shared" si="14"/>
        <v>3.5917240174601375</v>
      </c>
      <c r="D83" s="15">
        <f t="shared" si="15"/>
        <v>21.529187939200085</v>
      </c>
      <c r="E83" s="15" t="s">
        <v>22</v>
      </c>
      <c r="F83" s="15">
        <f t="shared" si="1"/>
        <v>93.699055229507081</v>
      </c>
      <c r="H83" s="15">
        <v>15</v>
      </c>
      <c r="I83" s="15">
        <v>62</v>
      </c>
      <c r="J83" s="16">
        <f t="shared" si="16"/>
        <v>3.4437930130951031</v>
      </c>
      <c r="K83" s="15">
        <f t="shared" si="18"/>
        <v>10.266490211109982</v>
      </c>
      <c r="L83" s="15" t="s">
        <v>22</v>
      </c>
      <c r="M83" s="15">
        <f t="shared" si="17"/>
        <v>92.873667155627686</v>
      </c>
    </row>
    <row r="84" spans="1:13" x14ac:dyDescent="0.3">
      <c r="A84" s="19">
        <v>21</v>
      </c>
      <c r="B84" s="19">
        <v>63</v>
      </c>
      <c r="C84" s="20">
        <f t="shared" si="14"/>
        <v>0.22131021833314435</v>
      </c>
      <c r="D84" s="19">
        <f t="shared" si="15"/>
        <v>17.605647336160089</v>
      </c>
      <c r="E84" s="19" t="s">
        <v>22</v>
      </c>
      <c r="F84" s="19">
        <f t="shared" si="1"/>
        <v>93.425353106352048</v>
      </c>
      <c r="H84" s="19">
        <v>16</v>
      </c>
      <c r="I84" s="19">
        <v>63</v>
      </c>
      <c r="J84" s="20">
        <f t="shared" si="16"/>
        <v>7.337921396810998E-2</v>
      </c>
      <c r="K84" s="19">
        <f t="shared" si="18"/>
        <v>4.2842562251839809</v>
      </c>
      <c r="L84" s="19" t="s">
        <v>22</v>
      </c>
      <c r="M84" s="19">
        <f t="shared" si="17"/>
        <v>92.599965032472653</v>
      </c>
    </row>
    <row r="86" spans="1:13" ht="21" x14ac:dyDescent="0.4">
      <c r="E86" t="s">
        <v>391</v>
      </c>
      <c r="F86" s="10">
        <f>SUM(F21:F84)</f>
        <v>6058.2295832878481</v>
      </c>
      <c r="L86" t="s">
        <v>391</v>
      </c>
      <c r="M86" s="11">
        <f>SUM(M22:M84)</f>
        <v>6051.005865534119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141A-F1CC-4700-91D2-A5E33F422C2D}">
  <dimension ref="A1:N121"/>
  <sheetViews>
    <sheetView tabSelected="1" topLeftCell="A46" workbookViewId="0">
      <selection activeCell="P73" sqref="P73"/>
    </sheetView>
  </sheetViews>
  <sheetFormatPr defaultRowHeight="14.4" x14ac:dyDescent="0.3"/>
  <cols>
    <col min="1" max="1" width="7.109375" bestFit="1" customWidth="1"/>
    <col min="2" max="2" width="6.21875" bestFit="1" customWidth="1"/>
    <col min="3" max="3" width="11.77734375" bestFit="1" customWidth="1"/>
    <col min="4" max="4" width="12.44140625" bestFit="1" customWidth="1"/>
    <col min="5" max="5" width="8.88671875" bestFit="1" customWidth="1"/>
    <col min="6" max="6" width="8" bestFit="1" customWidth="1"/>
    <col min="7" max="7" width="12.5546875" bestFit="1" customWidth="1"/>
    <col min="8" max="8" width="12.77734375" bestFit="1" customWidth="1"/>
    <col min="9" max="9" width="16.6640625" bestFit="1" customWidth="1"/>
    <col min="10" max="10" width="16.33203125" bestFit="1" customWidth="1"/>
    <col min="11" max="11" width="13" bestFit="1" customWidth="1"/>
    <col min="12" max="12" width="15.6640625" bestFit="1" customWidth="1"/>
    <col min="13" max="13" width="16.33203125" bestFit="1" customWidth="1"/>
    <col min="14" max="14" width="13" bestFit="1" customWidth="1"/>
    <col min="15" max="15" width="13.77734375" bestFit="1" customWidth="1"/>
    <col min="16" max="16" width="11.44140625" bestFit="1" customWidth="1"/>
    <col min="17" max="17" width="9.5546875" bestFit="1" customWidth="1"/>
    <col min="18" max="18" width="9.77734375" bestFit="1" customWidth="1"/>
    <col min="19" max="19" width="6.6640625" bestFit="1" customWidth="1"/>
    <col min="20" max="20" width="9.88671875" bestFit="1" customWidth="1"/>
    <col min="21" max="21" width="12.33203125" bestFit="1" customWidth="1"/>
    <col min="22" max="22" width="8.33203125" bestFit="1" customWidth="1"/>
    <col min="23" max="23" width="14.109375" bestFit="1" customWidth="1"/>
    <col min="24" max="24" width="10.88671875" bestFit="1" customWidth="1"/>
    <col min="25" max="25" width="19" bestFit="1" customWidth="1"/>
    <col min="26" max="26" width="14" bestFit="1" customWidth="1"/>
    <col min="27" max="27" width="12.21875" bestFit="1" customWidth="1"/>
    <col min="28" max="28" width="13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379</v>
      </c>
      <c r="N1" s="1" t="s">
        <v>382</v>
      </c>
    </row>
    <row r="2" spans="1:14" x14ac:dyDescent="0.3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5" t="s">
        <v>23</v>
      </c>
    </row>
    <row r="3" spans="1:14" x14ac:dyDescent="0.3">
      <c r="A3" t="s">
        <v>36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s="5" t="s">
        <v>37</v>
      </c>
    </row>
    <row r="4" spans="1:14" x14ac:dyDescent="0.3">
      <c r="A4" t="s">
        <v>12</v>
      </c>
      <c r="B4" t="s">
        <v>13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26</v>
      </c>
      <c r="I4" t="s">
        <v>20</v>
      </c>
      <c r="J4" t="s">
        <v>21</v>
      </c>
      <c r="K4" t="s">
        <v>22</v>
      </c>
      <c r="L4" s="5" t="s">
        <v>43</v>
      </c>
    </row>
    <row r="5" spans="1:14" x14ac:dyDescent="0.3">
      <c r="A5" t="s">
        <v>44</v>
      </c>
      <c r="B5" t="s">
        <v>13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26</v>
      </c>
      <c r="I5" t="s">
        <v>20</v>
      </c>
      <c r="J5" t="s">
        <v>21</v>
      </c>
      <c r="K5" t="s">
        <v>22</v>
      </c>
      <c r="L5" s="5" t="s">
        <v>45</v>
      </c>
    </row>
    <row r="6" spans="1:14" x14ac:dyDescent="0.3">
      <c r="A6" t="s">
        <v>46</v>
      </c>
      <c r="B6" t="s">
        <v>13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20</v>
      </c>
      <c r="J6" t="s">
        <v>21</v>
      </c>
      <c r="K6" t="s">
        <v>22</v>
      </c>
      <c r="L6" s="5" t="s">
        <v>53</v>
      </c>
    </row>
    <row r="7" spans="1:14" x14ac:dyDescent="0.3">
      <c r="A7" t="s">
        <v>33</v>
      </c>
      <c r="B7" t="s">
        <v>13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20</v>
      </c>
      <c r="J7" t="s">
        <v>21</v>
      </c>
      <c r="K7" t="s">
        <v>22</v>
      </c>
      <c r="L7" s="5" t="s">
        <v>54</v>
      </c>
    </row>
    <row r="8" spans="1:14" x14ac:dyDescent="0.3">
      <c r="A8" t="s">
        <v>30</v>
      </c>
      <c r="B8" t="s">
        <v>13</v>
      </c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20</v>
      </c>
      <c r="J8" t="s">
        <v>21</v>
      </c>
      <c r="K8" t="s">
        <v>22</v>
      </c>
      <c r="L8" s="5" t="s">
        <v>60</v>
      </c>
    </row>
    <row r="9" spans="1:14" x14ac:dyDescent="0.3">
      <c r="A9" t="s">
        <v>61</v>
      </c>
      <c r="B9" t="s">
        <v>13</v>
      </c>
      <c r="C9" t="s">
        <v>55</v>
      </c>
      <c r="D9" t="s">
        <v>56</v>
      </c>
      <c r="E9" t="s">
        <v>57</v>
      </c>
      <c r="F9" t="s">
        <v>15</v>
      </c>
      <c r="G9" t="s">
        <v>58</v>
      </c>
      <c r="H9" t="s">
        <v>59</v>
      </c>
      <c r="I9" t="s">
        <v>20</v>
      </c>
      <c r="J9" t="s">
        <v>21</v>
      </c>
      <c r="K9" t="s">
        <v>22</v>
      </c>
      <c r="L9" s="5" t="s">
        <v>62</v>
      </c>
    </row>
    <row r="10" spans="1:14" x14ac:dyDescent="0.3">
      <c r="A10" t="s">
        <v>26</v>
      </c>
      <c r="B10" t="s">
        <v>13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36</v>
      </c>
      <c r="I10" t="s">
        <v>20</v>
      </c>
      <c r="J10" t="s">
        <v>21</v>
      </c>
      <c r="K10" t="s">
        <v>22</v>
      </c>
      <c r="L10" s="5" t="s">
        <v>68</v>
      </c>
    </row>
    <row r="11" spans="1:14" x14ac:dyDescent="0.3">
      <c r="A11" t="s">
        <v>69</v>
      </c>
      <c r="B11" t="s">
        <v>13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36</v>
      </c>
      <c r="I11" t="s">
        <v>20</v>
      </c>
      <c r="J11" t="s">
        <v>21</v>
      </c>
      <c r="K11" t="s">
        <v>22</v>
      </c>
      <c r="L11" s="5" t="s">
        <v>70</v>
      </c>
    </row>
    <row r="12" spans="1:14" x14ac:dyDescent="0.3">
      <c r="A12" t="s">
        <v>71</v>
      </c>
      <c r="B12" t="s">
        <v>13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20</v>
      </c>
      <c r="J12" t="s">
        <v>21</v>
      </c>
      <c r="K12" t="s">
        <v>22</v>
      </c>
      <c r="L12" s="5" t="s">
        <v>78</v>
      </c>
    </row>
    <row r="13" spans="1:14" x14ac:dyDescent="0.3">
      <c r="A13" t="s">
        <v>79</v>
      </c>
      <c r="B13" t="s">
        <v>13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20</v>
      </c>
      <c r="J13" t="s">
        <v>21</v>
      </c>
      <c r="K13" t="s">
        <v>22</v>
      </c>
      <c r="L13" s="5" t="s">
        <v>80</v>
      </c>
    </row>
    <row r="14" spans="1:14" x14ac:dyDescent="0.3">
      <c r="A14" t="s">
        <v>81</v>
      </c>
      <c r="B14" t="s">
        <v>13</v>
      </c>
      <c r="C14" t="s">
        <v>82</v>
      </c>
      <c r="D14" t="s">
        <v>83</v>
      </c>
      <c r="E14" t="s">
        <v>84</v>
      </c>
      <c r="F14" t="s">
        <v>85</v>
      </c>
      <c r="G14" t="s">
        <v>74</v>
      </c>
      <c r="H14" t="s">
        <v>59</v>
      </c>
      <c r="I14" t="s">
        <v>20</v>
      </c>
      <c r="J14" t="s">
        <v>21</v>
      </c>
      <c r="K14" t="s">
        <v>22</v>
      </c>
      <c r="L14" s="5" t="s">
        <v>86</v>
      </c>
    </row>
    <row r="15" spans="1:14" x14ac:dyDescent="0.3">
      <c r="A15" t="s">
        <v>87</v>
      </c>
      <c r="B15" t="s">
        <v>13</v>
      </c>
      <c r="C15" t="s">
        <v>82</v>
      </c>
      <c r="D15" t="s">
        <v>83</v>
      </c>
      <c r="E15" t="s">
        <v>84</v>
      </c>
      <c r="F15" t="s">
        <v>85</v>
      </c>
      <c r="G15" t="s">
        <v>74</v>
      </c>
      <c r="H15" t="s">
        <v>59</v>
      </c>
      <c r="I15" t="s">
        <v>20</v>
      </c>
      <c r="J15" t="s">
        <v>21</v>
      </c>
      <c r="K15" t="s">
        <v>22</v>
      </c>
      <c r="L15" s="5" t="s">
        <v>88</v>
      </c>
    </row>
    <row r="16" spans="1:14" x14ac:dyDescent="0.3">
      <c r="A16" t="s">
        <v>29</v>
      </c>
      <c r="B16" t="s">
        <v>13</v>
      </c>
      <c r="C16" t="s">
        <v>89</v>
      </c>
      <c r="D16" t="s">
        <v>90</v>
      </c>
      <c r="E16" t="s">
        <v>91</v>
      </c>
      <c r="F16" t="s">
        <v>58</v>
      </c>
      <c r="G16" t="s">
        <v>90</v>
      </c>
      <c r="H16" t="s">
        <v>33</v>
      </c>
      <c r="I16" t="s">
        <v>20</v>
      </c>
      <c r="J16" t="s">
        <v>21</v>
      </c>
      <c r="K16" t="s">
        <v>22</v>
      </c>
      <c r="L16" s="5" t="s">
        <v>92</v>
      </c>
    </row>
    <row r="17" spans="1:12" x14ac:dyDescent="0.3">
      <c r="A17" t="s">
        <v>57</v>
      </c>
      <c r="B17" t="s">
        <v>13</v>
      </c>
      <c r="C17" t="s">
        <v>89</v>
      </c>
      <c r="D17" t="s">
        <v>90</v>
      </c>
      <c r="E17" t="s">
        <v>91</v>
      </c>
      <c r="F17" t="s">
        <v>58</v>
      </c>
      <c r="G17" t="s">
        <v>90</v>
      </c>
      <c r="H17" t="s">
        <v>33</v>
      </c>
      <c r="I17" t="s">
        <v>20</v>
      </c>
      <c r="J17" t="s">
        <v>21</v>
      </c>
      <c r="K17" t="s">
        <v>22</v>
      </c>
      <c r="L17" s="5" t="s">
        <v>93</v>
      </c>
    </row>
    <row r="18" spans="1:12" x14ac:dyDescent="0.3">
      <c r="A18" t="s">
        <v>94</v>
      </c>
      <c r="B18" t="s">
        <v>13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t="s">
        <v>20</v>
      </c>
      <c r="J18" t="s">
        <v>21</v>
      </c>
      <c r="K18" t="s">
        <v>22</v>
      </c>
      <c r="L18" s="5" t="s">
        <v>101</v>
      </c>
    </row>
    <row r="19" spans="1:12" x14ac:dyDescent="0.3">
      <c r="A19" t="s">
        <v>102</v>
      </c>
      <c r="B19" t="s">
        <v>13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t="s">
        <v>20</v>
      </c>
      <c r="J19" t="s">
        <v>21</v>
      </c>
      <c r="K19" t="s">
        <v>22</v>
      </c>
      <c r="L19" s="5" t="s">
        <v>103</v>
      </c>
    </row>
    <row r="20" spans="1:12" x14ac:dyDescent="0.3">
      <c r="A20" t="s">
        <v>104</v>
      </c>
      <c r="B20" t="s">
        <v>13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 t="s">
        <v>74</v>
      </c>
      <c r="I20" t="s">
        <v>20</v>
      </c>
      <c r="J20" t="s">
        <v>21</v>
      </c>
      <c r="K20" t="s">
        <v>22</v>
      </c>
      <c r="L20" s="5" t="s">
        <v>110</v>
      </c>
    </row>
    <row r="21" spans="1:12" x14ac:dyDescent="0.3">
      <c r="A21" t="s">
        <v>27</v>
      </c>
      <c r="B21" t="s">
        <v>13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74</v>
      </c>
      <c r="I21" t="s">
        <v>20</v>
      </c>
      <c r="J21" t="s">
        <v>21</v>
      </c>
      <c r="K21" t="s">
        <v>22</v>
      </c>
      <c r="L21" s="5" t="s">
        <v>111</v>
      </c>
    </row>
    <row r="22" spans="1:12" x14ac:dyDescent="0.3">
      <c r="A22" t="s">
        <v>112</v>
      </c>
      <c r="B22" t="s">
        <v>13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t="s">
        <v>35</v>
      </c>
      <c r="I22" t="s">
        <v>20</v>
      </c>
      <c r="J22" t="s">
        <v>21</v>
      </c>
      <c r="K22" t="s">
        <v>22</v>
      </c>
      <c r="L22" s="5" t="s">
        <v>118</v>
      </c>
    </row>
    <row r="23" spans="1:12" x14ac:dyDescent="0.3">
      <c r="A23" t="s">
        <v>119</v>
      </c>
      <c r="B23" t="s">
        <v>13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35</v>
      </c>
      <c r="I23" t="s">
        <v>20</v>
      </c>
      <c r="J23" t="s">
        <v>21</v>
      </c>
      <c r="K23" t="s">
        <v>22</v>
      </c>
      <c r="L23" s="5" t="s">
        <v>120</v>
      </c>
    </row>
    <row r="24" spans="1:12" x14ac:dyDescent="0.3">
      <c r="A24" t="s">
        <v>115</v>
      </c>
      <c r="B24" t="s">
        <v>13</v>
      </c>
      <c r="C24" t="s">
        <v>121</v>
      </c>
      <c r="D24" t="s">
        <v>38</v>
      </c>
      <c r="E24" t="s">
        <v>29</v>
      </c>
      <c r="F24" t="s">
        <v>122</v>
      </c>
      <c r="G24" t="s">
        <v>123</v>
      </c>
      <c r="H24" t="s">
        <v>115</v>
      </c>
      <c r="I24" t="s">
        <v>20</v>
      </c>
      <c r="J24" t="s">
        <v>21</v>
      </c>
      <c r="K24" t="s">
        <v>22</v>
      </c>
      <c r="L24" s="5" t="s">
        <v>124</v>
      </c>
    </row>
    <row r="25" spans="1:12" x14ac:dyDescent="0.3">
      <c r="A25" t="s">
        <v>125</v>
      </c>
      <c r="B25" t="s">
        <v>13</v>
      </c>
      <c r="C25" t="s">
        <v>121</v>
      </c>
      <c r="D25" t="s">
        <v>38</v>
      </c>
      <c r="E25" t="s">
        <v>29</v>
      </c>
      <c r="F25" t="s">
        <v>122</v>
      </c>
      <c r="G25" t="s">
        <v>123</v>
      </c>
      <c r="H25" t="s">
        <v>115</v>
      </c>
      <c r="I25" t="s">
        <v>20</v>
      </c>
      <c r="J25" t="s">
        <v>21</v>
      </c>
      <c r="K25" t="s">
        <v>22</v>
      </c>
      <c r="L25" s="5" t="s">
        <v>126</v>
      </c>
    </row>
    <row r="26" spans="1:12" x14ac:dyDescent="0.3">
      <c r="A26" t="s">
        <v>127</v>
      </c>
      <c r="B26" t="s">
        <v>13</v>
      </c>
      <c r="C26" t="s">
        <v>128</v>
      </c>
      <c r="D26" t="s">
        <v>129</v>
      </c>
      <c r="E26" t="s">
        <v>26</v>
      </c>
      <c r="F26" t="s">
        <v>130</v>
      </c>
      <c r="G26" t="s">
        <v>131</v>
      </c>
      <c r="H26" t="s">
        <v>132</v>
      </c>
      <c r="I26" t="s">
        <v>20</v>
      </c>
      <c r="J26" t="s">
        <v>21</v>
      </c>
      <c r="K26" t="s">
        <v>22</v>
      </c>
      <c r="L26" s="5" t="s">
        <v>133</v>
      </c>
    </row>
    <row r="27" spans="1:12" x14ac:dyDescent="0.3">
      <c r="A27" t="s">
        <v>134</v>
      </c>
      <c r="B27" t="s">
        <v>13</v>
      </c>
      <c r="C27" t="s">
        <v>128</v>
      </c>
      <c r="D27" t="s">
        <v>129</v>
      </c>
      <c r="E27" t="s">
        <v>26</v>
      </c>
      <c r="F27" t="s">
        <v>130</v>
      </c>
      <c r="G27" t="s">
        <v>131</v>
      </c>
      <c r="H27" t="s">
        <v>132</v>
      </c>
      <c r="I27" t="s">
        <v>20</v>
      </c>
      <c r="J27" t="s">
        <v>21</v>
      </c>
      <c r="K27" t="s">
        <v>22</v>
      </c>
      <c r="L27" s="5" t="s">
        <v>135</v>
      </c>
    </row>
    <row r="28" spans="1:12" x14ac:dyDescent="0.3">
      <c r="A28" t="s">
        <v>136</v>
      </c>
      <c r="B28" t="s">
        <v>13</v>
      </c>
      <c r="C28" t="s">
        <v>137</v>
      </c>
      <c r="D28" t="s">
        <v>41</v>
      </c>
      <c r="E28" t="s">
        <v>52</v>
      </c>
      <c r="F28" t="s">
        <v>32</v>
      </c>
      <c r="G28" t="s">
        <v>138</v>
      </c>
      <c r="H28" t="s">
        <v>139</v>
      </c>
      <c r="I28" t="s">
        <v>20</v>
      </c>
      <c r="J28" t="s">
        <v>21</v>
      </c>
      <c r="K28" t="s">
        <v>22</v>
      </c>
      <c r="L28" s="5" t="s">
        <v>140</v>
      </c>
    </row>
    <row r="29" spans="1:12" x14ac:dyDescent="0.3">
      <c r="A29" t="s">
        <v>141</v>
      </c>
      <c r="B29" t="s">
        <v>13</v>
      </c>
      <c r="C29" t="s">
        <v>137</v>
      </c>
      <c r="D29" t="s">
        <v>41</v>
      </c>
      <c r="E29" t="s">
        <v>52</v>
      </c>
      <c r="F29" t="s">
        <v>32</v>
      </c>
      <c r="G29" t="s">
        <v>138</v>
      </c>
      <c r="H29" t="s">
        <v>139</v>
      </c>
      <c r="I29" t="s">
        <v>20</v>
      </c>
      <c r="J29" t="s">
        <v>21</v>
      </c>
      <c r="K29" t="s">
        <v>22</v>
      </c>
      <c r="L29" s="5" t="s">
        <v>142</v>
      </c>
    </row>
    <row r="30" spans="1:12" x14ac:dyDescent="0.3">
      <c r="A30" t="s">
        <v>143</v>
      </c>
      <c r="B30" t="s">
        <v>13</v>
      </c>
      <c r="C30" t="s">
        <v>144</v>
      </c>
      <c r="D30" t="s">
        <v>145</v>
      </c>
      <c r="E30" t="s">
        <v>143</v>
      </c>
      <c r="F30" t="s">
        <v>146</v>
      </c>
      <c r="G30" t="s">
        <v>147</v>
      </c>
      <c r="H30" t="s">
        <v>27</v>
      </c>
      <c r="I30" t="s">
        <v>20</v>
      </c>
      <c r="J30" t="s">
        <v>21</v>
      </c>
      <c r="K30" t="s">
        <v>22</v>
      </c>
      <c r="L30" s="5" t="s">
        <v>148</v>
      </c>
    </row>
    <row r="31" spans="1:12" x14ac:dyDescent="0.3">
      <c r="A31" t="s">
        <v>149</v>
      </c>
      <c r="B31" t="s">
        <v>13</v>
      </c>
      <c r="C31" t="s">
        <v>144</v>
      </c>
      <c r="D31" t="s">
        <v>145</v>
      </c>
      <c r="E31" t="s">
        <v>143</v>
      </c>
      <c r="F31" t="s">
        <v>146</v>
      </c>
      <c r="G31" t="s">
        <v>147</v>
      </c>
      <c r="H31" t="s">
        <v>27</v>
      </c>
      <c r="I31" t="s">
        <v>20</v>
      </c>
      <c r="J31" t="s">
        <v>21</v>
      </c>
      <c r="K31" t="s">
        <v>22</v>
      </c>
      <c r="L31" s="5" t="s">
        <v>150</v>
      </c>
    </row>
    <row r="32" spans="1:12" x14ac:dyDescent="0.3">
      <c r="A32" t="s">
        <v>151</v>
      </c>
      <c r="B32" t="s">
        <v>13</v>
      </c>
      <c r="C32" t="s">
        <v>152</v>
      </c>
      <c r="D32" t="s">
        <v>153</v>
      </c>
      <c r="E32" t="s">
        <v>154</v>
      </c>
      <c r="F32" t="s">
        <v>91</v>
      </c>
      <c r="G32" t="s">
        <v>155</v>
      </c>
      <c r="H32" t="s">
        <v>156</v>
      </c>
      <c r="I32" t="s">
        <v>20</v>
      </c>
      <c r="J32" t="s">
        <v>21</v>
      </c>
      <c r="K32" t="s">
        <v>22</v>
      </c>
      <c r="L32" s="5" t="s">
        <v>157</v>
      </c>
    </row>
    <row r="33" spans="1:12" x14ac:dyDescent="0.3">
      <c r="A33" t="s">
        <v>158</v>
      </c>
      <c r="B33" t="s">
        <v>13</v>
      </c>
      <c r="C33" t="s">
        <v>152</v>
      </c>
      <c r="D33" t="s">
        <v>153</v>
      </c>
      <c r="E33" t="s">
        <v>154</v>
      </c>
      <c r="F33" t="s">
        <v>91</v>
      </c>
      <c r="G33" t="s">
        <v>155</v>
      </c>
      <c r="H33" t="s">
        <v>156</v>
      </c>
      <c r="I33" t="s">
        <v>20</v>
      </c>
      <c r="J33" t="s">
        <v>21</v>
      </c>
      <c r="K33" t="s">
        <v>22</v>
      </c>
      <c r="L33" s="5" t="s">
        <v>159</v>
      </c>
    </row>
    <row r="34" spans="1:12" x14ac:dyDescent="0.3">
      <c r="A34" t="s">
        <v>160</v>
      </c>
      <c r="B34" t="s">
        <v>13</v>
      </c>
      <c r="C34" t="s">
        <v>161</v>
      </c>
      <c r="D34" t="s">
        <v>162</v>
      </c>
      <c r="E34" t="s">
        <v>163</v>
      </c>
      <c r="F34" t="s">
        <v>164</v>
      </c>
      <c r="G34" t="s">
        <v>112</v>
      </c>
      <c r="H34" t="s">
        <v>165</v>
      </c>
      <c r="I34" t="s">
        <v>20</v>
      </c>
      <c r="J34" t="s">
        <v>21</v>
      </c>
      <c r="K34" t="s">
        <v>22</v>
      </c>
      <c r="L34" s="5" t="s">
        <v>166</v>
      </c>
    </row>
    <row r="35" spans="1:12" x14ac:dyDescent="0.3">
      <c r="A35" t="s">
        <v>74</v>
      </c>
      <c r="B35" t="s">
        <v>13</v>
      </c>
      <c r="C35" t="s">
        <v>161</v>
      </c>
      <c r="D35" t="s">
        <v>162</v>
      </c>
      <c r="E35" t="s">
        <v>163</v>
      </c>
      <c r="F35" t="s">
        <v>164</v>
      </c>
      <c r="G35" t="s">
        <v>112</v>
      </c>
      <c r="H35" t="s">
        <v>165</v>
      </c>
      <c r="I35" t="s">
        <v>20</v>
      </c>
      <c r="J35" t="s">
        <v>21</v>
      </c>
      <c r="K35" t="s">
        <v>22</v>
      </c>
      <c r="L35" s="5" t="s">
        <v>167</v>
      </c>
    </row>
    <row r="36" spans="1:12" x14ac:dyDescent="0.3">
      <c r="A36" t="s">
        <v>84</v>
      </c>
      <c r="B36" t="s">
        <v>13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  <c r="H36" t="s">
        <v>136</v>
      </c>
      <c r="I36" t="s">
        <v>20</v>
      </c>
      <c r="J36" t="s">
        <v>21</v>
      </c>
      <c r="K36" t="s">
        <v>22</v>
      </c>
      <c r="L36" s="5" t="s">
        <v>173</v>
      </c>
    </row>
    <row r="37" spans="1:12" x14ac:dyDescent="0.3">
      <c r="A37" t="s">
        <v>100</v>
      </c>
      <c r="B37" t="s">
        <v>13</v>
      </c>
      <c r="C37" t="s">
        <v>168</v>
      </c>
      <c r="D37" t="s">
        <v>169</v>
      </c>
      <c r="E37" t="s">
        <v>170</v>
      </c>
      <c r="F37" t="s">
        <v>171</v>
      </c>
      <c r="G37" t="s">
        <v>172</v>
      </c>
      <c r="H37" t="s">
        <v>136</v>
      </c>
      <c r="I37" t="s">
        <v>20</v>
      </c>
      <c r="J37" t="s">
        <v>21</v>
      </c>
      <c r="K37" t="s">
        <v>22</v>
      </c>
      <c r="L37" s="5" t="s">
        <v>174</v>
      </c>
    </row>
    <row r="38" spans="1:12" x14ac:dyDescent="0.3">
      <c r="A38" t="s">
        <v>34</v>
      </c>
      <c r="B38" t="s">
        <v>13</v>
      </c>
      <c r="C38" t="s">
        <v>175</v>
      </c>
      <c r="D38" t="s">
        <v>176</v>
      </c>
      <c r="E38" t="s">
        <v>25</v>
      </c>
      <c r="F38" t="s">
        <v>177</v>
      </c>
      <c r="G38" t="s">
        <v>112</v>
      </c>
      <c r="H38" t="s">
        <v>170</v>
      </c>
      <c r="I38" t="s">
        <v>20</v>
      </c>
      <c r="J38" t="s">
        <v>21</v>
      </c>
      <c r="K38" t="s">
        <v>22</v>
      </c>
      <c r="L38" s="5" t="s">
        <v>178</v>
      </c>
    </row>
    <row r="39" spans="1:12" x14ac:dyDescent="0.3">
      <c r="A39" t="s">
        <v>25</v>
      </c>
      <c r="B39" t="s">
        <v>13</v>
      </c>
      <c r="C39" t="s">
        <v>175</v>
      </c>
      <c r="D39" t="s">
        <v>176</v>
      </c>
      <c r="E39" t="s">
        <v>25</v>
      </c>
      <c r="F39" t="s">
        <v>177</v>
      </c>
      <c r="G39" t="s">
        <v>112</v>
      </c>
      <c r="H39" t="s">
        <v>170</v>
      </c>
      <c r="I39" t="s">
        <v>20</v>
      </c>
      <c r="J39" t="s">
        <v>21</v>
      </c>
      <c r="K39" t="s">
        <v>22</v>
      </c>
      <c r="L39" s="5" t="s">
        <v>179</v>
      </c>
    </row>
    <row r="40" spans="1:12" x14ac:dyDescent="0.3">
      <c r="A40" t="s">
        <v>180</v>
      </c>
      <c r="B40" t="s">
        <v>13</v>
      </c>
      <c r="C40" t="s">
        <v>181</v>
      </c>
      <c r="D40" t="s">
        <v>182</v>
      </c>
      <c r="E40" t="s">
        <v>183</v>
      </c>
      <c r="F40" t="s">
        <v>96</v>
      </c>
      <c r="G40" t="s">
        <v>108</v>
      </c>
      <c r="H40" t="s">
        <v>26</v>
      </c>
      <c r="I40" t="s">
        <v>20</v>
      </c>
      <c r="J40" t="s">
        <v>21</v>
      </c>
      <c r="K40" t="s">
        <v>22</v>
      </c>
      <c r="L40" s="5" t="s">
        <v>184</v>
      </c>
    </row>
    <row r="41" spans="1:12" x14ac:dyDescent="0.3">
      <c r="A41" t="s">
        <v>185</v>
      </c>
      <c r="B41" t="s">
        <v>13</v>
      </c>
      <c r="C41" t="s">
        <v>181</v>
      </c>
      <c r="D41" t="s">
        <v>182</v>
      </c>
      <c r="E41" t="s">
        <v>183</v>
      </c>
      <c r="F41" t="s">
        <v>96</v>
      </c>
      <c r="G41" t="s">
        <v>108</v>
      </c>
      <c r="H41" t="s">
        <v>26</v>
      </c>
      <c r="I41" t="s">
        <v>20</v>
      </c>
      <c r="J41" t="s">
        <v>21</v>
      </c>
      <c r="K41" t="s">
        <v>22</v>
      </c>
      <c r="L41" s="5" t="s">
        <v>186</v>
      </c>
    </row>
    <row r="42" spans="1:12" x14ac:dyDescent="0.3">
      <c r="A42" t="s">
        <v>170</v>
      </c>
      <c r="B42" t="s">
        <v>13</v>
      </c>
      <c r="C42" t="s">
        <v>187</v>
      </c>
      <c r="D42" t="s">
        <v>128</v>
      </c>
      <c r="E42" t="s">
        <v>188</v>
      </c>
      <c r="F42" t="s">
        <v>189</v>
      </c>
      <c r="G42" t="s">
        <v>190</v>
      </c>
      <c r="H42" t="s">
        <v>151</v>
      </c>
      <c r="I42" t="s">
        <v>20</v>
      </c>
      <c r="J42" t="s">
        <v>21</v>
      </c>
      <c r="K42" t="s">
        <v>22</v>
      </c>
      <c r="L42" s="5" t="s">
        <v>191</v>
      </c>
    </row>
    <row r="43" spans="1:12" x14ac:dyDescent="0.3">
      <c r="A43" t="s">
        <v>192</v>
      </c>
      <c r="B43" t="s">
        <v>13</v>
      </c>
      <c r="C43" t="s">
        <v>187</v>
      </c>
      <c r="D43" t="s">
        <v>128</v>
      </c>
      <c r="E43" t="s">
        <v>188</v>
      </c>
      <c r="F43" t="s">
        <v>189</v>
      </c>
      <c r="G43" t="s">
        <v>190</v>
      </c>
      <c r="H43" t="s">
        <v>151</v>
      </c>
      <c r="I43" t="s">
        <v>20</v>
      </c>
      <c r="J43" t="s">
        <v>21</v>
      </c>
      <c r="K43" t="s">
        <v>22</v>
      </c>
      <c r="L43" s="5" t="s">
        <v>193</v>
      </c>
    </row>
    <row r="44" spans="1:12" x14ac:dyDescent="0.3">
      <c r="A44" t="s">
        <v>194</v>
      </c>
      <c r="B44" t="s">
        <v>13</v>
      </c>
      <c r="C44" t="s">
        <v>195</v>
      </c>
      <c r="D44" t="s">
        <v>196</v>
      </c>
      <c r="E44" t="s">
        <v>36</v>
      </c>
      <c r="F44" t="s">
        <v>197</v>
      </c>
      <c r="G44" t="s">
        <v>198</v>
      </c>
      <c r="H44" t="s">
        <v>19</v>
      </c>
      <c r="I44" t="s">
        <v>20</v>
      </c>
      <c r="J44" t="s">
        <v>21</v>
      </c>
      <c r="K44" t="s">
        <v>22</v>
      </c>
      <c r="L44" s="5" t="s">
        <v>199</v>
      </c>
    </row>
    <row r="45" spans="1:12" x14ac:dyDescent="0.3">
      <c r="A45" t="s">
        <v>138</v>
      </c>
      <c r="B45" t="s">
        <v>13</v>
      </c>
      <c r="C45" t="s">
        <v>195</v>
      </c>
      <c r="D45" t="s">
        <v>196</v>
      </c>
      <c r="E45" t="s">
        <v>36</v>
      </c>
      <c r="F45" t="s">
        <v>197</v>
      </c>
      <c r="G45" t="s">
        <v>198</v>
      </c>
      <c r="H45" t="s">
        <v>19</v>
      </c>
      <c r="I45" t="s">
        <v>20</v>
      </c>
      <c r="J45" t="s">
        <v>21</v>
      </c>
      <c r="K45" t="s">
        <v>22</v>
      </c>
      <c r="L45" s="5" t="s">
        <v>200</v>
      </c>
    </row>
    <row r="46" spans="1:12" x14ac:dyDescent="0.3">
      <c r="A46" t="s">
        <v>201</v>
      </c>
      <c r="B46" t="s">
        <v>13</v>
      </c>
      <c r="C46" t="s">
        <v>85</v>
      </c>
      <c r="D46" t="s">
        <v>202</v>
      </c>
      <c r="E46" t="s">
        <v>32</v>
      </c>
      <c r="F46" t="s">
        <v>123</v>
      </c>
      <c r="G46" t="s">
        <v>203</v>
      </c>
      <c r="H46" t="s">
        <v>183</v>
      </c>
      <c r="I46" t="s">
        <v>20</v>
      </c>
      <c r="J46" t="s">
        <v>21</v>
      </c>
      <c r="K46" t="s">
        <v>22</v>
      </c>
      <c r="L46" s="5" t="s">
        <v>204</v>
      </c>
    </row>
    <row r="47" spans="1:12" x14ac:dyDescent="0.3">
      <c r="A47" t="s">
        <v>59</v>
      </c>
      <c r="B47" t="s">
        <v>13</v>
      </c>
      <c r="C47" t="s">
        <v>85</v>
      </c>
      <c r="D47" t="s">
        <v>202</v>
      </c>
      <c r="E47" t="s">
        <v>32</v>
      </c>
      <c r="F47" t="s">
        <v>123</v>
      </c>
      <c r="G47" t="s">
        <v>203</v>
      </c>
      <c r="H47" t="s">
        <v>183</v>
      </c>
      <c r="I47" t="s">
        <v>20</v>
      </c>
      <c r="J47" t="s">
        <v>21</v>
      </c>
      <c r="K47" t="s">
        <v>22</v>
      </c>
      <c r="L47" s="5" t="s">
        <v>205</v>
      </c>
    </row>
    <row r="48" spans="1:12" x14ac:dyDescent="0.3">
      <c r="A48" t="s">
        <v>40</v>
      </c>
      <c r="B48" t="s">
        <v>13</v>
      </c>
      <c r="C48" t="s">
        <v>206</v>
      </c>
      <c r="D48" t="s">
        <v>207</v>
      </c>
      <c r="E48" t="s">
        <v>28</v>
      </c>
      <c r="F48" t="s">
        <v>208</v>
      </c>
      <c r="G48" t="s">
        <v>209</v>
      </c>
      <c r="H48" t="s">
        <v>57</v>
      </c>
      <c r="I48" t="s">
        <v>20</v>
      </c>
      <c r="J48" t="s">
        <v>21</v>
      </c>
      <c r="K48" t="s">
        <v>22</v>
      </c>
      <c r="L48" s="5" t="s">
        <v>210</v>
      </c>
    </row>
    <row r="49" spans="1:12" x14ac:dyDescent="0.3">
      <c r="A49" t="s">
        <v>211</v>
      </c>
      <c r="B49" t="s">
        <v>13</v>
      </c>
      <c r="C49" t="s">
        <v>206</v>
      </c>
      <c r="D49" t="s">
        <v>207</v>
      </c>
      <c r="E49" t="s">
        <v>28</v>
      </c>
      <c r="F49" t="s">
        <v>208</v>
      </c>
      <c r="G49" t="s">
        <v>209</v>
      </c>
      <c r="H49" t="s">
        <v>57</v>
      </c>
      <c r="I49" t="s">
        <v>20</v>
      </c>
      <c r="J49" t="s">
        <v>21</v>
      </c>
      <c r="K49" t="s">
        <v>22</v>
      </c>
      <c r="L49" s="5" t="s">
        <v>212</v>
      </c>
    </row>
    <row r="50" spans="1:12" x14ac:dyDescent="0.3">
      <c r="A50" t="s">
        <v>156</v>
      </c>
      <c r="B50" t="s">
        <v>13</v>
      </c>
      <c r="C50" t="s">
        <v>213</v>
      </c>
      <c r="D50" t="s">
        <v>214</v>
      </c>
      <c r="E50" t="s">
        <v>24</v>
      </c>
      <c r="F50" t="s">
        <v>215</v>
      </c>
      <c r="G50" t="s">
        <v>216</v>
      </c>
      <c r="H50" t="s">
        <v>104</v>
      </c>
      <c r="I50" t="s">
        <v>20</v>
      </c>
      <c r="J50" t="s">
        <v>21</v>
      </c>
      <c r="K50" t="s">
        <v>22</v>
      </c>
      <c r="L50" s="5" t="s">
        <v>217</v>
      </c>
    </row>
    <row r="51" spans="1:12" x14ac:dyDescent="0.3">
      <c r="A51" t="s">
        <v>16</v>
      </c>
      <c r="B51" t="s">
        <v>13</v>
      </c>
      <c r="C51" t="s">
        <v>213</v>
      </c>
      <c r="D51" t="s">
        <v>214</v>
      </c>
      <c r="E51" t="s">
        <v>24</v>
      </c>
      <c r="F51" t="s">
        <v>215</v>
      </c>
      <c r="G51" t="s">
        <v>216</v>
      </c>
      <c r="H51" t="s">
        <v>104</v>
      </c>
      <c r="I51" t="s">
        <v>20</v>
      </c>
      <c r="J51" t="s">
        <v>21</v>
      </c>
      <c r="K51" t="s">
        <v>22</v>
      </c>
      <c r="L51" s="5" t="s">
        <v>218</v>
      </c>
    </row>
    <row r="52" spans="1:12" x14ac:dyDescent="0.3">
      <c r="A52" t="s">
        <v>219</v>
      </c>
      <c r="B52" t="s">
        <v>13</v>
      </c>
      <c r="C52" t="s">
        <v>220</v>
      </c>
      <c r="D52" t="s">
        <v>117</v>
      </c>
      <c r="E52" t="s">
        <v>58</v>
      </c>
      <c r="F52" t="s">
        <v>221</v>
      </c>
      <c r="G52" t="s">
        <v>222</v>
      </c>
      <c r="H52" t="s">
        <v>134</v>
      </c>
      <c r="I52" t="s">
        <v>20</v>
      </c>
      <c r="J52" t="s">
        <v>21</v>
      </c>
      <c r="K52" t="s">
        <v>22</v>
      </c>
      <c r="L52" s="5" t="s">
        <v>223</v>
      </c>
    </row>
    <row r="53" spans="1:12" x14ac:dyDescent="0.3">
      <c r="A53" t="s">
        <v>224</v>
      </c>
      <c r="B53" t="s">
        <v>13</v>
      </c>
      <c r="C53" t="s">
        <v>220</v>
      </c>
      <c r="D53" t="s">
        <v>117</v>
      </c>
      <c r="E53" t="s">
        <v>58</v>
      </c>
      <c r="F53" t="s">
        <v>221</v>
      </c>
      <c r="G53" t="s">
        <v>222</v>
      </c>
      <c r="H53" t="s">
        <v>134</v>
      </c>
      <c r="I53" t="s">
        <v>20</v>
      </c>
      <c r="J53" t="s">
        <v>21</v>
      </c>
      <c r="K53" t="s">
        <v>22</v>
      </c>
      <c r="L53" s="5" t="s">
        <v>225</v>
      </c>
    </row>
    <row r="54" spans="1:12" x14ac:dyDescent="0.3">
      <c r="A54" t="s">
        <v>226</v>
      </c>
      <c r="B54" t="s">
        <v>13</v>
      </c>
      <c r="C54" t="s">
        <v>227</v>
      </c>
      <c r="D54" t="s">
        <v>228</v>
      </c>
      <c r="E54" t="s">
        <v>115</v>
      </c>
      <c r="F54" t="s">
        <v>229</v>
      </c>
      <c r="G54" t="s">
        <v>71</v>
      </c>
      <c r="H54" t="s">
        <v>81</v>
      </c>
      <c r="I54" t="s">
        <v>20</v>
      </c>
      <c r="J54" t="s">
        <v>21</v>
      </c>
      <c r="K54" t="s">
        <v>22</v>
      </c>
      <c r="L54" s="5" t="s">
        <v>230</v>
      </c>
    </row>
    <row r="55" spans="1:12" x14ac:dyDescent="0.3">
      <c r="A55" t="s">
        <v>32</v>
      </c>
      <c r="B55" t="s">
        <v>13</v>
      </c>
      <c r="C55" t="s">
        <v>227</v>
      </c>
      <c r="D55" t="s">
        <v>228</v>
      </c>
      <c r="E55" t="s">
        <v>115</v>
      </c>
      <c r="F55" t="s">
        <v>229</v>
      </c>
      <c r="G55" t="s">
        <v>71</v>
      </c>
      <c r="H55" t="s">
        <v>81</v>
      </c>
      <c r="I55" t="s">
        <v>20</v>
      </c>
      <c r="J55" t="s">
        <v>21</v>
      </c>
      <c r="K55" t="s">
        <v>22</v>
      </c>
      <c r="L55" s="5" t="s">
        <v>231</v>
      </c>
    </row>
    <row r="56" spans="1:12" x14ac:dyDescent="0.3">
      <c r="A56" t="s">
        <v>165</v>
      </c>
      <c r="B56" t="s">
        <v>13</v>
      </c>
      <c r="C56" t="s">
        <v>232</v>
      </c>
      <c r="D56" t="s">
        <v>233</v>
      </c>
      <c r="E56" t="s">
        <v>234</v>
      </c>
      <c r="F56" t="s">
        <v>235</v>
      </c>
      <c r="G56" t="s">
        <v>236</v>
      </c>
      <c r="H56" t="s">
        <v>226</v>
      </c>
      <c r="I56" t="s">
        <v>20</v>
      </c>
      <c r="J56" t="s">
        <v>21</v>
      </c>
      <c r="K56" t="s">
        <v>22</v>
      </c>
      <c r="L56" s="5" t="s">
        <v>237</v>
      </c>
    </row>
    <row r="57" spans="1:12" x14ac:dyDescent="0.3">
      <c r="A57" t="s">
        <v>234</v>
      </c>
      <c r="B57" t="s">
        <v>13</v>
      </c>
      <c r="C57" t="s">
        <v>232</v>
      </c>
      <c r="D57" t="s">
        <v>233</v>
      </c>
      <c r="E57" t="s">
        <v>234</v>
      </c>
      <c r="F57" t="s">
        <v>235</v>
      </c>
      <c r="G57" t="s">
        <v>236</v>
      </c>
      <c r="H57" t="s">
        <v>226</v>
      </c>
      <c r="I57" t="s">
        <v>20</v>
      </c>
      <c r="J57" t="s">
        <v>21</v>
      </c>
      <c r="K57" t="s">
        <v>22</v>
      </c>
      <c r="L57" s="5" t="s">
        <v>238</v>
      </c>
    </row>
    <row r="58" spans="1:12" x14ac:dyDescent="0.3">
      <c r="A58" t="s">
        <v>147</v>
      </c>
      <c r="B58" t="s">
        <v>13</v>
      </c>
      <c r="C58" t="s">
        <v>239</v>
      </c>
      <c r="D58" t="s">
        <v>240</v>
      </c>
      <c r="E58" t="s">
        <v>241</v>
      </c>
      <c r="F58" t="s">
        <v>132</v>
      </c>
      <c r="G58" t="s">
        <v>242</v>
      </c>
      <c r="H58" t="s">
        <v>243</v>
      </c>
      <c r="I58" t="s">
        <v>20</v>
      </c>
      <c r="J58" t="s">
        <v>21</v>
      </c>
      <c r="K58" t="s">
        <v>22</v>
      </c>
      <c r="L58" s="5" t="s">
        <v>244</v>
      </c>
    </row>
    <row r="59" spans="1:12" x14ac:dyDescent="0.3">
      <c r="A59" t="s">
        <v>243</v>
      </c>
      <c r="B59" t="s">
        <v>13</v>
      </c>
      <c r="C59" t="s">
        <v>239</v>
      </c>
      <c r="D59" t="s">
        <v>240</v>
      </c>
      <c r="E59" t="s">
        <v>241</v>
      </c>
      <c r="F59" t="s">
        <v>132</v>
      </c>
      <c r="G59" t="s">
        <v>242</v>
      </c>
      <c r="H59" t="s">
        <v>243</v>
      </c>
      <c r="I59" t="s">
        <v>20</v>
      </c>
      <c r="J59" t="s">
        <v>21</v>
      </c>
      <c r="K59" t="s">
        <v>22</v>
      </c>
      <c r="L59" s="5" t="s">
        <v>245</v>
      </c>
    </row>
    <row r="60" spans="1:12" x14ac:dyDescent="0.3">
      <c r="A60" t="s">
        <v>246</v>
      </c>
      <c r="B60" t="s">
        <v>13</v>
      </c>
      <c r="C60" t="s">
        <v>247</v>
      </c>
      <c r="D60" t="s">
        <v>168</v>
      </c>
      <c r="E60" t="s">
        <v>46</v>
      </c>
      <c r="F60" t="s">
        <v>248</v>
      </c>
      <c r="G60" t="s">
        <v>249</v>
      </c>
      <c r="H60" t="s">
        <v>185</v>
      </c>
      <c r="I60" t="s">
        <v>20</v>
      </c>
      <c r="J60" t="s">
        <v>21</v>
      </c>
      <c r="K60" t="s">
        <v>22</v>
      </c>
      <c r="L60" s="5" t="s">
        <v>250</v>
      </c>
    </row>
    <row r="61" spans="1:12" x14ac:dyDescent="0.3">
      <c r="A61" t="s">
        <v>183</v>
      </c>
      <c r="B61" t="s">
        <v>13</v>
      </c>
      <c r="C61" t="s">
        <v>247</v>
      </c>
      <c r="D61" t="s">
        <v>168</v>
      </c>
      <c r="E61" t="s">
        <v>46</v>
      </c>
      <c r="F61" t="s">
        <v>248</v>
      </c>
      <c r="G61" t="s">
        <v>249</v>
      </c>
      <c r="H61" t="s">
        <v>185</v>
      </c>
      <c r="I61" t="s">
        <v>20</v>
      </c>
      <c r="J61" t="s">
        <v>21</v>
      </c>
      <c r="K61" t="s">
        <v>22</v>
      </c>
      <c r="L61" s="5" t="s">
        <v>251</v>
      </c>
    </row>
    <row r="62" spans="1:12" x14ac:dyDescent="0.3">
      <c r="A62" t="s">
        <v>252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s="5" t="s">
        <v>253</v>
      </c>
    </row>
    <row r="63" spans="1:12" x14ac:dyDescent="0.3">
      <c r="A63" t="s">
        <v>51</v>
      </c>
      <c r="B63" t="s">
        <v>13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20</v>
      </c>
      <c r="J63" t="s">
        <v>21</v>
      </c>
      <c r="K63" t="s">
        <v>22</v>
      </c>
      <c r="L63" s="5" t="s">
        <v>254</v>
      </c>
    </row>
    <row r="64" spans="1:12" x14ac:dyDescent="0.3">
      <c r="A64" t="s">
        <v>255</v>
      </c>
      <c r="B64" t="s">
        <v>13</v>
      </c>
      <c r="C64" t="s">
        <v>72</v>
      </c>
      <c r="D64" t="s">
        <v>73</v>
      </c>
      <c r="E64" t="s">
        <v>74</v>
      </c>
      <c r="F64" t="s">
        <v>75</v>
      </c>
      <c r="G64" t="s">
        <v>76</v>
      </c>
      <c r="H64" t="s">
        <v>77</v>
      </c>
      <c r="I64" t="s">
        <v>20</v>
      </c>
      <c r="J64" t="s">
        <v>21</v>
      </c>
      <c r="K64" t="s">
        <v>22</v>
      </c>
      <c r="L64" s="5" t="s">
        <v>256</v>
      </c>
    </row>
    <row r="65" spans="1:12" x14ac:dyDescent="0.3">
      <c r="A65" t="s">
        <v>35</v>
      </c>
      <c r="B65" t="s">
        <v>13</v>
      </c>
      <c r="C65" t="s">
        <v>82</v>
      </c>
      <c r="D65" t="s">
        <v>83</v>
      </c>
      <c r="E65" t="s">
        <v>84</v>
      </c>
      <c r="F65" t="s">
        <v>85</v>
      </c>
      <c r="G65" t="s">
        <v>74</v>
      </c>
      <c r="H65" t="s">
        <v>59</v>
      </c>
      <c r="I65" t="s">
        <v>20</v>
      </c>
      <c r="J65" t="s">
        <v>21</v>
      </c>
      <c r="K65" t="s">
        <v>22</v>
      </c>
      <c r="L65" s="5" t="s">
        <v>257</v>
      </c>
    </row>
    <row r="66" spans="1:12" x14ac:dyDescent="0.3">
      <c r="A66" t="s">
        <v>132</v>
      </c>
      <c r="B66" t="s">
        <v>13</v>
      </c>
      <c r="C66" t="s">
        <v>95</v>
      </c>
      <c r="D66" t="s">
        <v>96</v>
      </c>
      <c r="E66" t="s">
        <v>97</v>
      </c>
      <c r="F66" t="s">
        <v>98</v>
      </c>
      <c r="G66" t="s">
        <v>99</v>
      </c>
      <c r="H66" t="s">
        <v>100</v>
      </c>
      <c r="I66" t="s">
        <v>20</v>
      </c>
      <c r="J66" t="s">
        <v>21</v>
      </c>
      <c r="K66" t="s">
        <v>22</v>
      </c>
      <c r="L66" s="5" t="s">
        <v>258</v>
      </c>
    </row>
    <row r="67" spans="1:12" x14ac:dyDescent="0.3">
      <c r="A67" t="s">
        <v>163</v>
      </c>
      <c r="B67" t="s">
        <v>13</v>
      </c>
      <c r="C67" t="s">
        <v>113</v>
      </c>
      <c r="D67" t="s">
        <v>114</v>
      </c>
      <c r="E67" t="s">
        <v>115</v>
      </c>
      <c r="F67" t="s">
        <v>116</v>
      </c>
      <c r="G67" t="s">
        <v>117</v>
      </c>
      <c r="H67" t="s">
        <v>35</v>
      </c>
      <c r="I67" t="s">
        <v>20</v>
      </c>
      <c r="J67" t="s">
        <v>21</v>
      </c>
      <c r="K67" t="s">
        <v>22</v>
      </c>
      <c r="L67" s="5" t="s">
        <v>259</v>
      </c>
    </row>
    <row r="68" spans="1:12" x14ac:dyDescent="0.3">
      <c r="A68" t="s">
        <v>154</v>
      </c>
      <c r="B68" t="s">
        <v>13</v>
      </c>
      <c r="C68" t="s">
        <v>121</v>
      </c>
      <c r="D68" t="s">
        <v>38</v>
      </c>
      <c r="E68" t="s">
        <v>29</v>
      </c>
      <c r="F68" t="s">
        <v>122</v>
      </c>
      <c r="G68" t="s">
        <v>123</v>
      </c>
      <c r="H68" t="s">
        <v>115</v>
      </c>
      <c r="I68" t="s">
        <v>20</v>
      </c>
      <c r="J68" t="s">
        <v>21</v>
      </c>
      <c r="K68" t="s">
        <v>22</v>
      </c>
      <c r="L68" s="5" t="s">
        <v>260</v>
      </c>
    </row>
    <row r="69" spans="1:12" x14ac:dyDescent="0.3">
      <c r="A69" t="s">
        <v>31</v>
      </c>
      <c r="B69" t="s">
        <v>13</v>
      </c>
      <c r="C69" t="s">
        <v>144</v>
      </c>
      <c r="D69" t="s">
        <v>145</v>
      </c>
      <c r="E69" t="s">
        <v>143</v>
      </c>
      <c r="F69" t="s">
        <v>146</v>
      </c>
      <c r="G69" t="s">
        <v>147</v>
      </c>
      <c r="H69" t="s">
        <v>27</v>
      </c>
      <c r="I69" t="s">
        <v>20</v>
      </c>
      <c r="J69" t="s">
        <v>21</v>
      </c>
      <c r="K69" t="s">
        <v>22</v>
      </c>
      <c r="L69" s="5" t="s">
        <v>261</v>
      </c>
    </row>
    <row r="70" spans="1:12" x14ac:dyDescent="0.3">
      <c r="A70" t="s">
        <v>77</v>
      </c>
      <c r="B70" t="s">
        <v>13</v>
      </c>
      <c r="C70" t="s">
        <v>168</v>
      </c>
      <c r="D70" t="s">
        <v>169</v>
      </c>
      <c r="E70" t="s">
        <v>170</v>
      </c>
      <c r="F70" t="s">
        <v>171</v>
      </c>
      <c r="G70" t="s">
        <v>172</v>
      </c>
      <c r="H70" t="s">
        <v>136</v>
      </c>
      <c r="I70" t="s">
        <v>20</v>
      </c>
      <c r="J70" t="s">
        <v>21</v>
      </c>
      <c r="K70" t="s">
        <v>22</v>
      </c>
      <c r="L70" s="5" t="s">
        <v>262</v>
      </c>
    </row>
    <row r="71" spans="1:12" x14ac:dyDescent="0.3">
      <c r="A71" t="s">
        <v>241</v>
      </c>
      <c r="B71" t="s">
        <v>13</v>
      </c>
      <c r="C71" t="s">
        <v>181</v>
      </c>
      <c r="D71" t="s">
        <v>182</v>
      </c>
      <c r="E71" t="s">
        <v>183</v>
      </c>
      <c r="F71" t="s">
        <v>96</v>
      </c>
      <c r="G71" t="s">
        <v>108</v>
      </c>
      <c r="H71" t="s">
        <v>26</v>
      </c>
      <c r="I71" t="s">
        <v>20</v>
      </c>
      <c r="J71" t="s">
        <v>21</v>
      </c>
      <c r="K71" t="s">
        <v>22</v>
      </c>
      <c r="L71" s="5" t="s">
        <v>263</v>
      </c>
    </row>
    <row r="72" spans="1:12" x14ac:dyDescent="0.3">
      <c r="A72" t="s">
        <v>75</v>
      </c>
      <c r="B72" t="s">
        <v>13</v>
      </c>
      <c r="C72" t="s">
        <v>187</v>
      </c>
      <c r="D72" t="s">
        <v>128</v>
      </c>
      <c r="E72" t="s">
        <v>188</v>
      </c>
      <c r="F72" t="s">
        <v>189</v>
      </c>
      <c r="G72" t="s">
        <v>190</v>
      </c>
      <c r="H72" t="s">
        <v>151</v>
      </c>
      <c r="I72" t="s">
        <v>20</v>
      </c>
      <c r="J72" t="s">
        <v>21</v>
      </c>
      <c r="K72" t="s">
        <v>22</v>
      </c>
      <c r="L72" s="5" t="s">
        <v>264</v>
      </c>
    </row>
    <row r="73" spans="1:12" x14ac:dyDescent="0.3">
      <c r="A73" t="s">
        <v>19</v>
      </c>
      <c r="B73" t="s">
        <v>13</v>
      </c>
      <c r="C73" t="s">
        <v>85</v>
      </c>
      <c r="D73" t="s">
        <v>202</v>
      </c>
      <c r="E73" t="s">
        <v>32</v>
      </c>
      <c r="F73" t="s">
        <v>123</v>
      </c>
      <c r="G73" t="s">
        <v>203</v>
      </c>
      <c r="H73" t="s">
        <v>183</v>
      </c>
      <c r="I73" t="s">
        <v>20</v>
      </c>
      <c r="J73" t="s">
        <v>21</v>
      </c>
      <c r="K73" t="s">
        <v>22</v>
      </c>
      <c r="L73" s="5" t="s">
        <v>265</v>
      </c>
    </row>
    <row r="74" spans="1:12" x14ac:dyDescent="0.3">
      <c r="A74" t="s">
        <v>266</v>
      </c>
      <c r="B74" t="s">
        <v>13</v>
      </c>
      <c r="C74" t="s">
        <v>206</v>
      </c>
      <c r="D74" t="s">
        <v>207</v>
      </c>
      <c r="E74" t="s">
        <v>28</v>
      </c>
      <c r="F74" t="s">
        <v>208</v>
      </c>
      <c r="G74" t="s">
        <v>209</v>
      </c>
      <c r="H74" t="s">
        <v>57</v>
      </c>
      <c r="I74" t="s">
        <v>20</v>
      </c>
      <c r="J74" t="s">
        <v>21</v>
      </c>
      <c r="K74" t="s">
        <v>22</v>
      </c>
      <c r="L74" s="5" t="s">
        <v>267</v>
      </c>
    </row>
    <row r="75" spans="1:12" x14ac:dyDescent="0.3">
      <c r="A75" t="s">
        <v>155</v>
      </c>
      <c r="B75" t="s">
        <v>13</v>
      </c>
      <c r="C75" t="s">
        <v>232</v>
      </c>
      <c r="D75" t="s">
        <v>233</v>
      </c>
      <c r="E75" t="s">
        <v>234</v>
      </c>
      <c r="F75" t="s">
        <v>235</v>
      </c>
      <c r="G75" t="s">
        <v>236</v>
      </c>
      <c r="H75" t="s">
        <v>226</v>
      </c>
      <c r="I75" t="s">
        <v>20</v>
      </c>
      <c r="J75" t="s">
        <v>21</v>
      </c>
      <c r="K75" t="s">
        <v>22</v>
      </c>
      <c r="L75" s="5" t="s">
        <v>268</v>
      </c>
    </row>
    <row r="76" spans="1:12" x14ac:dyDescent="0.3">
      <c r="A76" t="s">
        <v>52</v>
      </c>
      <c r="B76" t="s">
        <v>13</v>
      </c>
      <c r="C76" t="s">
        <v>247</v>
      </c>
      <c r="D76" t="s">
        <v>168</v>
      </c>
      <c r="E76" t="s">
        <v>46</v>
      </c>
      <c r="F76" t="s">
        <v>248</v>
      </c>
      <c r="G76" t="s">
        <v>249</v>
      </c>
      <c r="H76" t="s">
        <v>185</v>
      </c>
      <c r="I76" t="s">
        <v>20</v>
      </c>
      <c r="J76" t="s">
        <v>21</v>
      </c>
      <c r="K76" t="s">
        <v>22</v>
      </c>
      <c r="L76" s="5" t="s">
        <v>269</v>
      </c>
    </row>
    <row r="77" spans="1:12" x14ac:dyDescent="0.3">
      <c r="A77" t="s">
        <v>270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s="5" t="s">
        <v>271</v>
      </c>
    </row>
    <row r="78" spans="1:12" x14ac:dyDescent="0.3">
      <c r="A78" t="s">
        <v>272</v>
      </c>
      <c r="B78" t="s">
        <v>13</v>
      </c>
      <c r="C78" t="s">
        <v>113</v>
      </c>
      <c r="D78" t="s">
        <v>114</v>
      </c>
      <c r="E78" t="s">
        <v>115</v>
      </c>
      <c r="F78" t="s">
        <v>116</v>
      </c>
      <c r="G78" t="s">
        <v>117</v>
      </c>
      <c r="H78" t="s">
        <v>35</v>
      </c>
      <c r="I78" t="s">
        <v>20</v>
      </c>
      <c r="J78" t="s">
        <v>21</v>
      </c>
      <c r="K78" t="s">
        <v>22</v>
      </c>
      <c r="L78" s="5" t="s">
        <v>273</v>
      </c>
    </row>
    <row r="79" spans="1:12" x14ac:dyDescent="0.3">
      <c r="A79" t="s">
        <v>28</v>
      </c>
      <c r="B79" t="s">
        <v>13</v>
      </c>
      <c r="C79" t="s">
        <v>121</v>
      </c>
      <c r="D79" t="s">
        <v>38</v>
      </c>
      <c r="E79" t="s">
        <v>29</v>
      </c>
      <c r="F79" t="s">
        <v>122</v>
      </c>
      <c r="G79" t="s">
        <v>123</v>
      </c>
      <c r="H79" t="s">
        <v>115</v>
      </c>
      <c r="I79" t="s">
        <v>20</v>
      </c>
      <c r="J79" t="s">
        <v>21</v>
      </c>
      <c r="K79" t="s">
        <v>22</v>
      </c>
      <c r="L79" s="5" t="s">
        <v>274</v>
      </c>
    </row>
    <row r="80" spans="1:12" x14ac:dyDescent="0.3">
      <c r="A80" t="s">
        <v>139</v>
      </c>
      <c r="B80" t="s">
        <v>13</v>
      </c>
      <c r="C80" t="s">
        <v>206</v>
      </c>
      <c r="D80" t="s">
        <v>207</v>
      </c>
      <c r="E80" t="s">
        <v>28</v>
      </c>
      <c r="F80" t="s">
        <v>208</v>
      </c>
      <c r="G80" t="s">
        <v>209</v>
      </c>
      <c r="H80" t="s">
        <v>57</v>
      </c>
      <c r="I80" t="s">
        <v>20</v>
      </c>
      <c r="J80" t="s">
        <v>21</v>
      </c>
      <c r="K80" t="s">
        <v>22</v>
      </c>
      <c r="L80" s="5" t="s">
        <v>275</v>
      </c>
    </row>
    <row r="81" spans="1:14" x14ac:dyDescent="0.3">
      <c r="A81" t="s">
        <v>276</v>
      </c>
      <c r="B81" t="s">
        <v>13</v>
      </c>
      <c r="C81" t="s">
        <v>232</v>
      </c>
      <c r="D81" t="s">
        <v>233</v>
      </c>
      <c r="E81" t="s">
        <v>234</v>
      </c>
      <c r="F81" t="s">
        <v>235</v>
      </c>
      <c r="G81" t="s">
        <v>236</v>
      </c>
      <c r="H81" t="s">
        <v>226</v>
      </c>
      <c r="I81" t="s">
        <v>20</v>
      </c>
      <c r="J81" t="s">
        <v>21</v>
      </c>
      <c r="K81" t="s">
        <v>22</v>
      </c>
      <c r="L81" s="5" t="s">
        <v>277</v>
      </c>
    </row>
    <row r="82" spans="1:14" x14ac:dyDescent="0.3">
      <c r="A82" s="3" t="s">
        <v>278</v>
      </c>
      <c r="B82" s="3" t="s">
        <v>13</v>
      </c>
      <c r="C82" s="3" t="s">
        <v>121</v>
      </c>
      <c r="D82" s="3" t="s">
        <v>38</v>
      </c>
      <c r="E82" s="3" t="s">
        <v>29</v>
      </c>
      <c r="F82" s="3" t="s">
        <v>122</v>
      </c>
      <c r="G82" s="3" t="s">
        <v>123</v>
      </c>
      <c r="H82" s="3" t="s">
        <v>115</v>
      </c>
      <c r="I82" s="3" t="s">
        <v>279</v>
      </c>
      <c r="J82" s="3" t="s">
        <v>21</v>
      </c>
      <c r="K82" s="3" t="s">
        <v>22</v>
      </c>
      <c r="L82" s="6" t="s">
        <v>280</v>
      </c>
    </row>
    <row r="83" spans="1:14" x14ac:dyDescent="0.3">
      <c r="A83" s="3" t="s">
        <v>281</v>
      </c>
      <c r="B83" s="3" t="s">
        <v>13</v>
      </c>
      <c r="C83" s="3" t="s">
        <v>121</v>
      </c>
      <c r="D83" s="3" t="s">
        <v>38</v>
      </c>
      <c r="E83" s="3" t="s">
        <v>29</v>
      </c>
      <c r="F83" s="3" t="s">
        <v>122</v>
      </c>
      <c r="G83" s="3" t="s">
        <v>123</v>
      </c>
      <c r="H83" s="3" t="s">
        <v>115</v>
      </c>
      <c r="I83" s="3" t="s">
        <v>279</v>
      </c>
      <c r="J83" s="3" t="s">
        <v>21</v>
      </c>
      <c r="K83" s="3" t="s">
        <v>22</v>
      </c>
      <c r="L83" s="6" t="s">
        <v>282</v>
      </c>
    </row>
    <row r="84" spans="1:14" x14ac:dyDescent="0.3">
      <c r="A84" s="3" t="s">
        <v>188</v>
      </c>
      <c r="B84" s="3" t="s">
        <v>13</v>
      </c>
      <c r="C84" s="3" t="s">
        <v>121</v>
      </c>
      <c r="D84" s="3" t="s">
        <v>38</v>
      </c>
      <c r="E84" s="3" t="s">
        <v>29</v>
      </c>
      <c r="F84" s="3" t="s">
        <v>122</v>
      </c>
      <c r="G84" s="3" t="s">
        <v>123</v>
      </c>
      <c r="H84" s="3" t="s">
        <v>115</v>
      </c>
      <c r="I84" s="3" t="s">
        <v>279</v>
      </c>
      <c r="J84" s="3" t="s">
        <v>21</v>
      </c>
      <c r="K84" s="3" t="s">
        <v>22</v>
      </c>
      <c r="L84" s="6" t="s">
        <v>283</v>
      </c>
    </row>
    <row r="85" spans="1:14" x14ac:dyDescent="0.3">
      <c r="A85" s="3" t="s">
        <v>284</v>
      </c>
      <c r="B85" s="3" t="s">
        <v>13</v>
      </c>
      <c r="C85" s="3" t="s">
        <v>121</v>
      </c>
      <c r="D85" s="3" t="s">
        <v>38</v>
      </c>
      <c r="E85" s="3" t="s">
        <v>29</v>
      </c>
      <c r="F85" s="3" t="s">
        <v>122</v>
      </c>
      <c r="G85" s="3" t="s">
        <v>123</v>
      </c>
      <c r="H85" s="3" t="s">
        <v>115</v>
      </c>
      <c r="I85" s="3" t="s">
        <v>279</v>
      </c>
      <c r="J85" s="3" t="s">
        <v>21</v>
      </c>
      <c r="K85" s="3" t="s">
        <v>22</v>
      </c>
      <c r="L85" s="6" t="s">
        <v>285</v>
      </c>
    </row>
    <row r="86" spans="1:14" x14ac:dyDescent="0.3">
      <c r="A86" s="3" t="s">
        <v>286</v>
      </c>
      <c r="B86" s="3" t="s">
        <v>13</v>
      </c>
      <c r="C86" s="3" t="s">
        <v>121</v>
      </c>
      <c r="D86" s="3" t="s">
        <v>38</v>
      </c>
      <c r="E86" s="3" t="s">
        <v>29</v>
      </c>
      <c r="F86" s="3" t="s">
        <v>122</v>
      </c>
      <c r="G86" s="3" t="s">
        <v>123</v>
      </c>
      <c r="H86" s="3" t="s">
        <v>115</v>
      </c>
      <c r="I86" s="3" t="s">
        <v>287</v>
      </c>
      <c r="J86" s="3" t="s">
        <v>21</v>
      </c>
      <c r="K86" s="3" t="s">
        <v>22</v>
      </c>
      <c r="L86" s="6" t="s">
        <v>288</v>
      </c>
    </row>
    <row r="87" spans="1:14" x14ac:dyDescent="0.3">
      <c r="A87" s="3" t="s">
        <v>91</v>
      </c>
      <c r="B87" s="3" t="s">
        <v>13</v>
      </c>
      <c r="C87" s="3" t="s">
        <v>121</v>
      </c>
      <c r="D87" s="3" t="s">
        <v>38</v>
      </c>
      <c r="E87" s="3" t="s">
        <v>29</v>
      </c>
      <c r="F87" s="3" t="s">
        <v>122</v>
      </c>
      <c r="G87" s="3" t="s">
        <v>123</v>
      </c>
      <c r="H87" s="3" t="s">
        <v>115</v>
      </c>
      <c r="I87" s="3" t="s">
        <v>287</v>
      </c>
      <c r="J87" s="3" t="s">
        <v>21</v>
      </c>
      <c r="K87" s="3" t="s">
        <v>22</v>
      </c>
      <c r="L87" s="6" t="s">
        <v>289</v>
      </c>
    </row>
    <row r="88" spans="1:14" x14ac:dyDescent="0.3">
      <c r="A88" s="3" t="s">
        <v>290</v>
      </c>
      <c r="B88" s="3" t="s">
        <v>13</v>
      </c>
      <c r="C88" s="3" t="s">
        <v>121</v>
      </c>
      <c r="D88" s="3" t="s">
        <v>38</v>
      </c>
      <c r="E88" s="3" t="s">
        <v>29</v>
      </c>
      <c r="F88" s="3" t="s">
        <v>122</v>
      </c>
      <c r="G88" s="3" t="s">
        <v>123</v>
      </c>
      <c r="H88" s="3" t="s">
        <v>115</v>
      </c>
      <c r="I88" s="3" t="s">
        <v>287</v>
      </c>
      <c r="J88" s="3" t="s">
        <v>21</v>
      </c>
      <c r="K88" s="3" t="s">
        <v>22</v>
      </c>
      <c r="L88" s="6" t="s">
        <v>291</v>
      </c>
    </row>
    <row r="89" spans="1:14" x14ac:dyDescent="0.3">
      <c r="A89" s="3" t="s">
        <v>42</v>
      </c>
      <c r="B89" s="3" t="s">
        <v>13</v>
      </c>
      <c r="C89" s="3" t="s">
        <v>121</v>
      </c>
      <c r="D89" s="3" t="s">
        <v>38</v>
      </c>
      <c r="E89" s="3" t="s">
        <v>29</v>
      </c>
      <c r="F89" s="3" t="s">
        <v>122</v>
      </c>
      <c r="G89" s="3" t="s">
        <v>123</v>
      </c>
      <c r="H89" s="3" t="s">
        <v>115</v>
      </c>
      <c r="I89" s="3" t="s">
        <v>287</v>
      </c>
      <c r="J89" s="3" t="s">
        <v>21</v>
      </c>
      <c r="K89" s="3" t="s">
        <v>22</v>
      </c>
      <c r="L89" s="6" t="s">
        <v>292</v>
      </c>
    </row>
    <row r="90" spans="1:14" x14ac:dyDescent="0.3">
      <c r="A90" s="2" t="s">
        <v>97</v>
      </c>
      <c r="B90" s="2" t="s">
        <v>13</v>
      </c>
      <c r="C90" s="2" t="s">
        <v>121</v>
      </c>
      <c r="D90" s="2" t="s">
        <v>38</v>
      </c>
      <c r="E90" s="2" t="s">
        <v>29</v>
      </c>
      <c r="F90" s="2" t="s">
        <v>122</v>
      </c>
      <c r="G90" s="2" t="s">
        <v>123</v>
      </c>
      <c r="H90" s="2" t="s">
        <v>115</v>
      </c>
      <c r="I90" s="2" t="s">
        <v>279</v>
      </c>
      <c r="J90" s="2" t="s">
        <v>293</v>
      </c>
      <c r="K90" s="2" t="s">
        <v>294</v>
      </c>
      <c r="L90" s="7" t="s">
        <v>295</v>
      </c>
      <c r="M90" s="5">
        <f>practice_data_belgium_final[[#This Row],[Lap Time]] - Param_estimation!$H$5 + (practice_data_belgium_final[[#This Row],[Lap]]-1)*Param_estimation!$H$7</f>
        <v>93.084846850000005</v>
      </c>
      <c r="N90">
        <f>120-practice_data_belgium_final[[#This Row],[Fuel]]</f>
        <v>3.3704137991300058</v>
      </c>
    </row>
    <row r="91" spans="1:14" x14ac:dyDescent="0.3">
      <c r="A91" s="2" t="s">
        <v>97</v>
      </c>
      <c r="B91" s="2" t="s">
        <v>36</v>
      </c>
      <c r="C91" s="2" t="s">
        <v>121</v>
      </c>
      <c r="D91" s="2" t="s">
        <v>38</v>
      </c>
      <c r="E91" s="2" t="s">
        <v>29</v>
      </c>
      <c r="F91" s="2" t="s">
        <v>122</v>
      </c>
      <c r="G91" s="2" t="s">
        <v>123</v>
      </c>
      <c r="H91" s="2" t="s">
        <v>115</v>
      </c>
      <c r="I91" s="2" t="s">
        <v>296</v>
      </c>
      <c r="J91" s="2" t="s">
        <v>297</v>
      </c>
      <c r="K91" s="2" t="s">
        <v>294</v>
      </c>
      <c r="L91" s="7" t="s">
        <v>298</v>
      </c>
      <c r="M91" s="5">
        <f>practice_data_belgium_final[[#This Row],[Lap Time]] - Param_estimation!$H$5 + (practice_data_belgium_final[[#This Row],[Lap]]-1)*Param_estimation!$H$7</f>
        <v>93.156285208969877</v>
      </c>
      <c r="N91">
        <f>I90-practice_data_belgium_final[[#This Row],[Fuel]]</f>
        <v>3.3704137991199872</v>
      </c>
    </row>
    <row r="92" spans="1:14" x14ac:dyDescent="0.3">
      <c r="A92" s="2" t="s">
        <v>97</v>
      </c>
      <c r="B92" s="2" t="s">
        <v>12</v>
      </c>
      <c r="C92" s="2" t="s">
        <v>121</v>
      </c>
      <c r="D92" s="2" t="s">
        <v>38</v>
      </c>
      <c r="E92" s="2" t="s">
        <v>29</v>
      </c>
      <c r="F92" s="2" t="s">
        <v>122</v>
      </c>
      <c r="G92" s="2" t="s">
        <v>123</v>
      </c>
      <c r="H92" s="2" t="s">
        <v>115</v>
      </c>
      <c r="I92" s="2" t="s">
        <v>299</v>
      </c>
      <c r="J92" s="2" t="s">
        <v>300</v>
      </c>
      <c r="K92" s="2" t="s">
        <v>294</v>
      </c>
      <c r="L92" s="7" t="s">
        <v>301</v>
      </c>
      <c r="M92" s="5">
        <f>practice_data_belgium_final[[#This Row],[Lap Time]] - Param_estimation!$H$5 + (practice_data_belgium_final[[#This Row],[Lap]]-1)*Param_estimation!$H$7</f>
        <v>91.822723567939747</v>
      </c>
      <c r="N92">
        <f>I91-practice_data_belgium_final[[#This Row],[Fuel]]</f>
        <v>3.3704137991300058</v>
      </c>
    </row>
    <row r="93" spans="1:14" x14ac:dyDescent="0.3">
      <c r="A93" s="2" t="s">
        <v>97</v>
      </c>
      <c r="B93" s="2" t="s">
        <v>44</v>
      </c>
      <c r="C93" s="2" t="s">
        <v>121</v>
      </c>
      <c r="D93" s="2" t="s">
        <v>38</v>
      </c>
      <c r="E93" s="2" t="s">
        <v>29</v>
      </c>
      <c r="F93" s="2" t="s">
        <v>122</v>
      </c>
      <c r="G93" s="2" t="s">
        <v>123</v>
      </c>
      <c r="H93" s="2" t="s">
        <v>115</v>
      </c>
      <c r="I93" s="2" t="s">
        <v>302</v>
      </c>
      <c r="J93" s="2" t="s">
        <v>303</v>
      </c>
      <c r="K93" s="2" t="s">
        <v>294</v>
      </c>
      <c r="L93" s="7" t="s">
        <v>304</v>
      </c>
      <c r="M93" s="5">
        <f>practice_data_belgium_final[[#This Row],[Lap Time]] - Param_estimation!$H$5 + (practice_data_belgium_final[[#This Row],[Lap]]-1)*Param_estimation!$H$7</f>
        <v>93.061161926919596</v>
      </c>
      <c r="N93">
        <f>I92-practice_data_belgium_final[[#This Row],[Fuel]]</f>
        <v>3.3704137991300058</v>
      </c>
    </row>
    <row r="94" spans="1:14" x14ac:dyDescent="0.3">
      <c r="A94" s="2" t="s">
        <v>97</v>
      </c>
      <c r="B94" s="2" t="s">
        <v>46</v>
      </c>
      <c r="C94" s="2" t="s">
        <v>121</v>
      </c>
      <c r="D94" s="2" t="s">
        <v>38</v>
      </c>
      <c r="E94" s="2" t="s">
        <v>29</v>
      </c>
      <c r="F94" s="2" t="s">
        <v>122</v>
      </c>
      <c r="G94" s="2" t="s">
        <v>123</v>
      </c>
      <c r="H94" s="2" t="s">
        <v>115</v>
      </c>
      <c r="I94" s="2" t="s">
        <v>305</v>
      </c>
      <c r="J94" s="2" t="s">
        <v>306</v>
      </c>
      <c r="K94" s="2" t="s">
        <v>294</v>
      </c>
      <c r="L94" s="7" t="s">
        <v>307</v>
      </c>
      <c r="M94" s="5">
        <f>practice_data_belgium_final[[#This Row],[Lap Time]] - Param_estimation!$H$5 + (practice_data_belgium_final[[#This Row],[Lap]]-1)*Param_estimation!$H$7</f>
        <v>92.80160028588945</v>
      </c>
      <c r="N94">
        <f>I93-practice_data_belgium_final[[#This Row],[Fuel]]</f>
        <v>3.3704137991200014</v>
      </c>
    </row>
    <row r="95" spans="1:14" x14ac:dyDescent="0.3">
      <c r="A95" s="2" t="s">
        <v>97</v>
      </c>
      <c r="B95" s="2" t="s">
        <v>33</v>
      </c>
      <c r="C95" s="2" t="s">
        <v>121</v>
      </c>
      <c r="D95" s="2" t="s">
        <v>38</v>
      </c>
      <c r="E95" s="2" t="s">
        <v>29</v>
      </c>
      <c r="F95" s="2" t="s">
        <v>122</v>
      </c>
      <c r="G95" s="2" t="s">
        <v>123</v>
      </c>
      <c r="H95" s="2" t="s">
        <v>115</v>
      </c>
      <c r="I95" s="2" t="s">
        <v>308</v>
      </c>
      <c r="J95" s="2" t="s">
        <v>309</v>
      </c>
      <c r="K95" s="2" t="s">
        <v>294</v>
      </c>
      <c r="L95" s="7" t="s">
        <v>310</v>
      </c>
      <c r="M95" s="5">
        <f>practice_data_belgium_final[[#This Row],[Lap Time]] - Param_estimation!$H$5 + (practice_data_belgium_final[[#This Row],[Lap]]-1)*Param_estimation!$H$7</f>
        <v>91.815038644859328</v>
      </c>
      <c r="N95">
        <f>I94-practice_data_belgium_final[[#This Row],[Fuel]]</f>
        <v>3.3704137991310006</v>
      </c>
    </row>
    <row r="96" spans="1:14" x14ac:dyDescent="0.3">
      <c r="A96" s="2" t="s">
        <v>97</v>
      </c>
      <c r="B96" s="2" t="s">
        <v>30</v>
      </c>
      <c r="C96" s="2" t="s">
        <v>121</v>
      </c>
      <c r="D96" s="2" t="s">
        <v>38</v>
      </c>
      <c r="E96" s="2" t="s">
        <v>29</v>
      </c>
      <c r="F96" s="2" t="s">
        <v>122</v>
      </c>
      <c r="G96" s="2" t="s">
        <v>123</v>
      </c>
      <c r="H96" s="2" t="s">
        <v>115</v>
      </c>
      <c r="I96" s="2" t="s">
        <v>311</v>
      </c>
      <c r="J96" s="2" t="s">
        <v>312</v>
      </c>
      <c r="K96" s="2" t="s">
        <v>294</v>
      </c>
      <c r="L96" s="7" t="s">
        <v>313</v>
      </c>
      <c r="M96" s="5">
        <f>practice_data_belgium_final[[#This Row],[Lap Time]] - Param_estimation!$H$5 + (practice_data_belgium_final[[#This Row],[Lap]]-1)*Param_estimation!$H$7</f>
        <v>93.092477003829188</v>
      </c>
      <c r="N96">
        <f>I95-practice_data_belgium_final[[#This Row],[Fuel]]</f>
        <v>3.3704137991259984</v>
      </c>
    </row>
    <row r="97" spans="1:14" x14ac:dyDescent="0.3">
      <c r="A97" s="2" t="s">
        <v>97</v>
      </c>
      <c r="B97" s="2" t="s">
        <v>61</v>
      </c>
      <c r="C97" s="2" t="s">
        <v>121</v>
      </c>
      <c r="D97" s="2" t="s">
        <v>38</v>
      </c>
      <c r="E97" s="2" t="s">
        <v>29</v>
      </c>
      <c r="F97" s="2" t="s">
        <v>122</v>
      </c>
      <c r="G97" s="2" t="s">
        <v>123</v>
      </c>
      <c r="H97" s="2" t="s">
        <v>115</v>
      </c>
      <c r="I97" s="2" t="s">
        <v>314</v>
      </c>
      <c r="J97" s="2" t="s">
        <v>315</v>
      </c>
      <c r="K97" s="2" t="s">
        <v>294</v>
      </c>
      <c r="L97" s="7" t="s">
        <v>316</v>
      </c>
      <c r="M97" s="5">
        <f>practice_data_belgium_final[[#This Row],[Lap Time]] - Param_estimation!$H$5 + (practice_data_belgium_final[[#This Row],[Lap]]-1)*Param_estimation!$H$7</f>
        <v>91.917915362804038</v>
      </c>
      <c r="N97">
        <f>I96-practice_data_belgium_final[[#This Row],[Fuel]]</f>
        <v>3.3704137991269931</v>
      </c>
    </row>
    <row r="98" spans="1:14" x14ac:dyDescent="0.3">
      <c r="A98" s="2" t="s">
        <v>317</v>
      </c>
      <c r="B98" s="2" t="s">
        <v>13</v>
      </c>
      <c r="C98" s="2" t="s">
        <v>121</v>
      </c>
      <c r="D98" s="2" t="s">
        <v>38</v>
      </c>
      <c r="E98" s="2" t="s">
        <v>29</v>
      </c>
      <c r="F98" s="2" t="s">
        <v>122</v>
      </c>
      <c r="G98" s="2" t="s">
        <v>123</v>
      </c>
      <c r="H98" s="2" t="s">
        <v>115</v>
      </c>
      <c r="I98" s="2" t="s">
        <v>279</v>
      </c>
      <c r="J98" s="2" t="s">
        <v>21</v>
      </c>
      <c r="K98" s="2" t="s">
        <v>22</v>
      </c>
      <c r="L98" s="7" t="s">
        <v>318</v>
      </c>
      <c r="M98" s="5">
        <f>practice_data_belgium_final[[#This Row],[Lap Time]] - Param_estimation!$H$5 + (practice_data_belgium_final[[#This Row],[Lap]]-1)*Param_estimation!$H$7</f>
        <v>93.083346850000012</v>
      </c>
      <c r="N98">
        <f>I97-practice_data_belgium_final[[#This Row],[Fuel]]</f>
        <v>-23.592896593883992</v>
      </c>
    </row>
    <row r="99" spans="1:14" x14ac:dyDescent="0.3">
      <c r="A99" s="2" t="s">
        <v>317</v>
      </c>
      <c r="B99" s="2" t="s">
        <v>36</v>
      </c>
      <c r="C99" s="2" t="s">
        <v>121</v>
      </c>
      <c r="D99" s="2" t="s">
        <v>38</v>
      </c>
      <c r="E99" s="2" t="s">
        <v>29</v>
      </c>
      <c r="F99" s="2" t="s">
        <v>122</v>
      </c>
      <c r="G99" s="2" t="s">
        <v>123</v>
      </c>
      <c r="H99" s="2" t="s">
        <v>115</v>
      </c>
      <c r="I99" s="2" t="s">
        <v>296</v>
      </c>
      <c r="J99" s="2" t="s">
        <v>319</v>
      </c>
      <c r="K99" s="2" t="s">
        <v>22</v>
      </c>
      <c r="L99" s="7" t="s">
        <v>320</v>
      </c>
      <c r="M99" s="5">
        <f>practice_data_belgium_final[[#This Row],[Lap Time]] - Param_estimation!$H$5 + (practice_data_belgium_final[[#This Row],[Lap]]-1)*Param_estimation!$H$7</f>
        <v>93.980785208969877</v>
      </c>
      <c r="N99">
        <f>I98-practice_data_belgium_final[[#This Row],[Fuel]]</f>
        <v>3.3704137991199872</v>
      </c>
    </row>
    <row r="100" spans="1:14" x14ac:dyDescent="0.3">
      <c r="A100" s="2" t="s">
        <v>317</v>
      </c>
      <c r="B100" s="2" t="s">
        <v>12</v>
      </c>
      <c r="C100" s="2" t="s">
        <v>121</v>
      </c>
      <c r="D100" s="2" t="s">
        <v>38</v>
      </c>
      <c r="E100" s="2" t="s">
        <v>29</v>
      </c>
      <c r="F100" s="2" t="s">
        <v>122</v>
      </c>
      <c r="G100" s="2" t="s">
        <v>123</v>
      </c>
      <c r="H100" s="2" t="s">
        <v>115</v>
      </c>
      <c r="I100" s="2" t="s">
        <v>299</v>
      </c>
      <c r="J100" s="2" t="s">
        <v>321</v>
      </c>
      <c r="K100" s="2" t="s">
        <v>22</v>
      </c>
      <c r="L100" s="7" t="s">
        <v>322</v>
      </c>
      <c r="M100" s="5">
        <f>practice_data_belgium_final[[#This Row],[Lap Time]] - Param_estimation!$H$5 + (practice_data_belgium_final[[#This Row],[Lap]]-1)*Param_estimation!$H$7</f>
        <v>93.148223567939738</v>
      </c>
      <c r="N100">
        <f>I99-practice_data_belgium_final[[#This Row],[Fuel]]</f>
        <v>3.3704137991300058</v>
      </c>
    </row>
    <row r="101" spans="1:14" x14ac:dyDescent="0.3">
      <c r="A101" s="2" t="s">
        <v>317</v>
      </c>
      <c r="B101" s="2" t="s">
        <v>44</v>
      </c>
      <c r="C101" s="2" t="s">
        <v>121</v>
      </c>
      <c r="D101" s="2" t="s">
        <v>38</v>
      </c>
      <c r="E101" s="2" t="s">
        <v>29</v>
      </c>
      <c r="F101" s="2" t="s">
        <v>122</v>
      </c>
      <c r="G101" s="2" t="s">
        <v>123</v>
      </c>
      <c r="H101" s="2" t="s">
        <v>115</v>
      </c>
      <c r="I101" s="2" t="s">
        <v>302</v>
      </c>
      <c r="J101" s="2" t="s">
        <v>323</v>
      </c>
      <c r="K101" s="2" t="s">
        <v>22</v>
      </c>
      <c r="L101" s="7" t="s">
        <v>324</v>
      </c>
      <c r="M101" s="5">
        <f>practice_data_belgium_final[[#This Row],[Lap Time]] - Param_estimation!$H$5 + (practice_data_belgium_final[[#This Row],[Lap]]-1)*Param_estimation!$H$7</f>
        <v>93.114661926919595</v>
      </c>
      <c r="N101">
        <f>I100-practice_data_belgium_final[[#This Row],[Fuel]]</f>
        <v>3.3704137991300058</v>
      </c>
    </row>
    <row r="102" spans="1:14" x14ac:dyDescent="0.3">
      <c r="A102" s="2" t="s">
        <v>317</v>
      </c>
      <c r="B102" s="2" t="s">
        <v>46</v>
      </c>
      <c r="C102" s="2" t="s">
        <v>121</v>
      </c>
      <c r="D102" s="2" t="s">
        <v>38</v>
      </c>
      <c r="E102" s="2" t="s">
        <v>29</v>
      </c>
      <c r="F102" s="2" t="s">
        <v>122</v>
      </c>
      <c r="G102" s="2" t="s">
        <v>123</v>
      </c>
      <c r="H102" s="2" t="s">
        <v>115</v>
      </c>
      <c r="I102" s="2" t="s">
        <v>305</v>
      </c>
      <c r="J102" s="2" t="s">
        <v>325</v>
      </c>
      <c r="K102" s="2" t="s">
        <v>22</v>
      </c>
      <c r="L102" s="7" t="s">
        <v>326</v>
      </c>
      <c r="M102" s="5">
        <f>practice_data_belgium_final[[#This Row],[Lap Time]] - Param_estimation!$H$5 + (practice_data_belgium_final[[#This Row],[Lap]]-1)*Param_estimation!$H$7</f>
        <v>93.662100285889451</v>
      </c>
      <c r="N102">
        <f>I101-practice_data_belgium_final[[#This Row],[Fuel]]</f>
        <v>3.3704137991200014</v>
      </c>
    </row>
    <row r="103" spans="1:14" x14ac:dyDescent="0.3">
      <c r="A103" s="2" t="s">
        <v>317</v>
      </c>
      <c r="B103" s="2" t="s">
        <v>33</v>
      </c>
      <c r="C103" s="2" t="s">
        <v>121</v>
      </c>
      <c r="D103" s="2" t="s">
        <v>38</v>
      </c>
      <c r="E103" s="2" t="s">
        <v>29</v>
      </c>
      <c r="F103" s="2" t="s">
        <v>122</v>
      </c>
      <c r="G103" s="2" t="s">
        <v>123</v>
      </c>
      <c r="H103" s="2" t="s">
        <v>115</v>
      </c>
      <c r="I103" s="2" t="s">
        <v>308</v>
      </c>
      <c r="J103" s="2" t="s">
        <v>327</v>
      </c>
      <c r="K103" s="2" t="s">
        <v>22</v>
      </c>
      <c r="L103" s="7" t="s">
        <v>328</v>
      </c>
      <c r="M103" s="5">
        <f>practice_data_belgium_final[[#This Row],[Lap Time]] - Param_estimation!$H$5 + (practice_data_belgium_final[[#This Row],[Lap]]-1)*Param_estimation!$H$7</f>
        <v>92.901538644859315</v>
      </c>
      <c r="N103">
        <f>I102-practice_data_belgium_final[[#This Row],[Fuel]]</f>
        <v>3.3704137991310006</v>
      </c>
    </row>
    <row r="104" spans="1:14" x14ac:dyDescent="0.3">
      <c r="A104" s="2" t="s">
        <v>317</v>
      </c>
      <c r="B104" s="2" t="s">
        <v>30</v>
      </c>
      <c r="C104" s="2" t="s">
        <v>121</v>
      </c>
      <c r="D104" s="2" t="s">
        <v>38</v>
      </c>
      <c r="E104" s="2" t="s">
        <v>29</v>
      </c>
      <c r="F104" s="2" t="s">
        <v>122</v>
      </c>
      <c r="G104" s="2" t="s">
        <v>123</v>
      </c>
      <c r="H104" s="2" t="s">
        <v>115</v>
      </c>
      <c r="I104" s="2" t="s">
        <v>311</v>
      </c>
      <c r="J104" s="2" t="s">
        <v>329</v>
      </c>
      <c r="K104" s="2" t="s">
        <v>22</v>
      </c>
      <c r="L104" s="7" t="s">
        <v>330</v>
      </c>
      <c r="M104" s="5">
        <f>practice_data_belgium_final[[#This Row],[Lap Time]] - Param_estimation!$H$5 + (practice_data_belgium_final[[#This Row],[Lap]]-1)*Param_estimation!$H$7</f>
        <v>93.591977003829186</v>
      </c>
      <c r="N104">
        <f>I103-practice_data_belgium_final[[#This Row],[Fuel]]</f>
        <v>3.3704137991259984</v>
      </c>
    </row>
    <row r="105" spans="1:14" x14ac:dyDescent="0.3">
      <c r="A105" s="2" t="s">
        <v>317</v>
      </c>
      <c r="B105" s="2" t="s">
        <v>61</v>
      </c>
      <c r="C105" s="2" t="s">
        <v>121</v>
      </c>
      <c r="D105" s="2" t="s">
        <v>38</v>
      </c>
      <c r="E105" s="2" t="s">
        <v>29</v>
      </c>
      <c r="F105" s="2" t="s">
        <v>122</v>
      </c>
      <c r="G105" s="2" t="s">
        <v>123</v>
      </c>
      <c r="H105" s="2" t="s">
        <v>115</v>
      </c>
      <c r="I105" s="2" t="s">
        <v>314</v>
      </c>
      <c r="J105" s="2" t="s">
        <v>331</v>
      </c>
      <c r="K105" s="2" t="s">
        <v>22</v>
      </c>
      <c r="L105" s="7" t="s">
        <v>332</v>
      </c>
      <c r="M105" s="5">
        <f>practice_data_belgium_final[[#This Row],[Lap Time]] - Param_estimation!$H$5 + (practice_data_belgium_final[[#This Row],[Lap]]-1)*Param_estimation!$H$7</f>
        <v>93.776415362799042</v>
      </c>
      <c r="N105">
        <f>I104-practice_data_belgium_final[[#This Row],[Fuel]]</f>
        <v>3.3704137991269931</v>
      </c>
    </row>
    <row r="106" spans="1:14" x14ac:dyDescent="0.3">
      <c r="A106" s="2" t="s">
        <v>333</v>
      </c>
      <c r="B106" s="2" t="s">
        <v>13</v>
      </c>
      <c r="C106" s="2" t="s">
        <v>121</v>
      </c>
      <c r="D106" s="2" t="s">
        <v>38</v>
      </c>
      <c r="E106" s="2" t="s">
        <v>29</v>
      </c>
      <c r="F106" s="2" t="s">
        <v>122</v>
      </c>
      <c r="G106" s="2" t="s">
        <v>123</v>
      </c>
      <c r="H106" s="2" t="s">
        <v>115</v>
      </c>
      <c r="I106" s="2" t="s">
        <v>279</v>
      </c>
      <c r="J106" s="2" t="s">
        <v>334</v>
      </c>
      <c r="K106" s="2" t="s">
        <v>335</v>
      </c>
      <c r="L106" s="7" t="s">
        <v>336</v>
      </c>
      <c r="M106" s="5">
        <f>practice_data_belgium_final[[#This Row],[Lap Time]] - Param_estimation!$H$5 + (practice_data_belgium_final[[#This Row],[Lap]]-1)*Param_estimation!$H$7</f>
        <v>94.194300350000006</v>
      </c>
      <c r="N106">
        <f>I105-practice_data_belgium_final[[#This Row],[Fuel]]</f>
        <v>-23.592896593883992</v>
      </c>
    </row>
    <row r="107" spans="1:14" x14ac:dyDescent="0.3">
      <c r="A107" s="2" t="s">
        <v>333</v>
      </c>
      <c r="B107" s="2" t="s">
        <v>36</v>
      </c>
      <c r="C107" s="2" t="s">
        <v>121</v>
      </c>
      <c r="D107" s="2" t="s">
        <v>38</v>
      </c>
      <c r="E107" s="2" t="s">
        <v>29</v>
      </c>
      <c r="F107" s="2" t="s">
        <v>122</v>
      </c>
      <c r="G107" s="2" t="s">
        <v>123</v>
      </c>
      <c r="H107" s="2" t="s">
        <v>115</v>
      </c>
      <c r="I107" s="2" t="s">
        <v>296</v>
      </c>
      <c r="J107" s="2" t="s">
        <v>337</v>
      </c>
      <c r="K107" s="2" t="s">
        <v>335</v>
      </c>
      <c r="L107" s="7" t="s">
        <v>338</v>
      </c>
      <c r="M107" s="5">
        <f>practice_data_belgium_final[[#This Row],[Lap Time]] - Param_estimation!$H$5 + (practice_data_belgium_final[[#This Row],[Lap]]-1)*Param_estimation!$H$7</f>
        <v>93.19873870896987</v>
      </c>
      <c r="N107">
        <f>I106-practice_data_belgium_final[[#This Row],[Fuel]]</f>
        <v>3.3704137991199872</v>
      </c>
    </row>
    <row r="108" spans="1:14" x14ac:dyDescent="0.3">
      <c r="A108" s="2" t="s">
        <v>333</v>
      </c>
      <c r="B108" s="2" t="s">
        <v>12</v>
      </c>
      <c r="C108" s="2" t="s">
        <v>121</v>
      </c>
      <c r="D108" s="2" t="s">
        <v>38</v>
      </c>
      <c r="E108" s="2" t="s">
        <v>29</v>
      </c>
      <c r="F108" s="2" t="s">
        <v>122</v>
      </c>
      <c r="G108" s="2" t="s">
        <v>123</v>
      </c>
      <c r="H108" s="2" t="s">
        <v>115</v>
      </c>
      <c r="I108" s="2" t="s">
        <v>299</v>
      </c>
      <c r="J108" s="2" t="s">
        <v>339</v>
      </c>
      <c r="K108" s="2" t="s">
        <v>335</v>
      </c>
      <c r="L108" s="7" t="s">
        <v>340</v>
      </c>
      <c r="M108" s="5">
        <f>practice_data_belgium_final[[#This Row],[Lap Time]] - Param_estimation!$H$5 + (practice_data_belgium_final[[#This Row],[Lap]]-1)*Param_estimation!$H$7</f>
        <v>92.953177067939734</v>
      </c>
      <c r="N108">
        <f>I107-practice_data_belgium_final[[#This Row],[Fuel]]</f>
        <v>3.3704137991300058</v>
      </c>
    </row>
    <row r="109" spans="1:14" x14ac:dyDescent="0.3">
      <c r="A109" s="2" t="s">
        <v>333</v>
      </c>
      <c r="B109" s="2" t="s">
        <v>44</v>
      </c>
      <c r="C109" s="2" t="s">
        <v>121</v>
      </c>
      <c r="D109" s="2" t="s">
        <v>38</v>
      </c>
      <c r="E109" s="2" t="s">
        <v>29</v>
      </c>
      <c r="F109" s="2" t="s">
        <v>122</v>
      </c>
      <c r="G109" s="2" t="s">
        <v>123</v>
      </c>
      <c r="H109" s="2" t="s">
        <v>115</v>
      </c>
      <c r="I109" s="2" t="s">
        <v>302</v>
      </c>
      <c r="J109" s="2" t="s">
        <v>341</v>
      </c>
      <c r="K109" s="2" t="s">
        <v>335</v>
      </c>
      <c r="L109" s="7" t="s">
        <v>342</v>
      </c>
      <c r="M109" s="5">
        <f>practice_data_belgium_final[[#This Row],[Lap Time]] - Param_estimation!$H$5 + (practice_data_belgium_final[[#This Row],[Lap]]-1)*Param_estimation!$H$7</f>
        <v>93.750615426919595</v>
      </c>
      <c r="N109">
        <f>I108-practice_data_belgium_final[[#This Row],[Fuel]]</f>
        <v>3.3704137991300058</v>
      </c>
    </row>
    <row r="110" spans="1:14" x14ac:dyDescent="0.3">
      <c r="A110" s="2" t="s">
        <v>333</v>
      </c>
      <c r="B110" s="2" t="s">
        <v>46</v>
      </c>
      <c r="C110" s="2" t="s">
        <v>121</v>
      </c>
      <c r="D110" s="2" t="s">
        <v>38</v>
      </c>
      <c r="E110" s="2" t="s">
        <v>29</v>
      </c>
      <c r="F110" s="2" t="s">
        <v>122</v>
      </c>
      <c r="G110" s="2" t="s">
        <v>123</v>
      </c>
      <c r="H110" s="2" t="s">
        <v>115</v>
      </c>
      <c r="I110" s="2" t="s">
        <v>305</v>
      </c>
      <c r="J110" s="2" t="s">
        <v>343</v>
      </c>
      <c r="K110" s="2" t="s">
        <v>335</v>
      </c>
      <c r="L110" s="7" t="s">
        <v>344</v>
      </c>
      <c r="M110" s="5">
        <f>practice_data_belgium_final[[#This Row],[Lap Time]] - Param_estimation!$H$5 + (practice_data_belgium_final[[#This Row],[Lap]]-1)*Param_estimation!$H$7</f>
        <v>93.079053785889457</v>
      </c>
      <c r="N110">
        <f>I109-practice_data_belgium_final[[#This Row],[Fuel]]</f>
        <v>3.3704137991200014</v>
      </c>
    </row>
    <row r="111" spans="1:14" x14ac:dyDescent="0.3">
      <c r="A111" s="2" t="s">
        <v>333</v>
      </c>
      <c r="B111" s="2" t="s">
        <v>33</v>
      </c>
      <c r="C111" s="2" t="s">
        <v>121</v>
      </c>
      <c r="D111" s="2" t="s">
        <v>38</v>
      </c>
      <c r="E111" s="2" t="s">
        <v>29</v>
      </c>
      <c r="F111" s="2" t="s">
        <v>122</v>
      </c>
      <c r="G111" s="2" t="s">
        <v>123</v>
      </c>
      <c r="H111" s="2" t="s">
        <v>115</v>
      </c>
      <c r="I111" s="2" t="s">
        <v>308</v>
      </c>
      <c r="J111" s="2" t="s">
        <v>345</v>
      </c>
      <c r="K111" s="2" t="s">
        <v>335</v>
      </c>
      <c r="L111" s="7" t="s">
        <v>346</v>
      </c>
      <c r="M111" s="5">
        <f>practice_data_belgium_final[[#This Row],[Lap Time]] - Param_estimation!$H$5 + (practice_data_belgium_final[[#This Row],[Lap]]-1)*Param_estimation!$H$7</f>
        <v>94.401492144859319</v>
      </c>
      <c r="N111">
        <f>I110-practice_data_belgium_final[[#This Row],[Fuel]]</f>
        <v>3.3704137991310006</v>
      </c>
    </row>
    <row r="112" spans="1:14" x14ac:dyDescent="0.3">
      <c r="A112" s="2" t="s">
        <v>333</v>
      </c>
      <c r="B112" s="2" t="s">
        <v>30</v>
      </c>
      <c r="C112" s="2" t="s">
        <v>121</v>
      </c>
      <c r="D112" s="2" t="s">
        <v>38</v>
      </c>
      <c r="E112" s="2" t="s">
        <v>29</v>
      </c>
      <c r="F112" s="2" t="s">
        <v>122</v>
      </c>
      <c r="G112" s="2" t="s">
        <v>123</v>
      </c>
      <c r="H112" s="2" t="s">
        <v>115</v>
      </c>
      <c r="I112" s="2" t="s">
        <v>311</v>
      </c>
      <c r="J112" s="2" t="s">
        <v>347</v>
      </c>
      <c r="K112" s="2" t="s">
        <v>335</v>
      </c>
      <c r="L112" s="7" t="s">
        <v>348</v>
      </c>
      <c r="M112" s="5">
        <f>practice_data_belgium_final[[#This Row],[Lap Time]] - Param_estimation!$H$5 + (practice_data_belgium_final[[#This Row],[Lap]]-1)*Param_estimation!$H$7</f>
        <v>92.816930503829184</v>
      </c>
      <c r="N112">
        <f>I111-practice_data_belgium_final[[#This Row],[Fuel]]</f>
        <v>3.3704137991259984</v>
      </c>
    </row>
    <row r="113" spans="1:14" x14ac:dyDescent="0.3">
      <c r="A113" s="2" t="s">
        <v>333</v>
      </c>
      <c r="B113" s="2" t="s">
        <v>61</v>
      </c>
      <c r="C113" s="2" t="s">
        <v>121</v>
      </c>
      <c r="D113" s="2" t="s">
        <v>38</v>
      </c>
      <c r="E113" s="2" t="s">
        <v>29</v>
      </c>
      <c r="F113" s="2" t="s">
        <v>122</v>
      </c>
      <c r="G113" s="2" t="s">
        <v>123</v>
      </c>
      <c r="H113" s="2" t="s">
        <v>115</v>
      </c>
      <c r="I113" s="2" t="s">
        <v>314</v>
      </c>
      <c r="J113" s="2" t="s">
        <v>349</v>
      </c>
      <c r="K113" s="2" t="s">
        <v>335</v>
      </c>
      <c r="L113" s="7" t="s">
        <v>350</v>
      </c>
      <c r="M113" s="5">
        <f>practice_data_belgium_final[[#This Row],[Lap Time]] - Param_estimation!$H$5 + (practice_data_belgium_final[[#This Row],[Lap]]-1)*Param_estimation!$H$7</f>
        <v>93.036368862799037</v>
      </c>
      <c r="N113">
        <f>I112-practice_data_belgium_final[[#This Row],[Fuel]]</f>
        <v>3.3704137991269931</v>
      </c>
    </row>
    <row r="114" spans="1:14" x14ac:dyDescent="0.3">
      <c r="A114" s="2" t="s">
        <v>351</v>
      </c>
      <c r="B114" s="2" t="s">
        <v>13</v>
      </c>
      <c r="C114" s="2" t="s">
        <v>121</v>
      </c>
      <c r="D114" s="2" t="s">
        <v>38</v>
      </c>
      <c r="E114" s="2" t="s">
        <v>29</v>
      </c>
      <c r="F114" s="2" t="s">
        <v>122</v>
      </c>
      <c r="G114" s="2" t="s">
        <v>123</v>
      </c>
      <c r="H114" s="2" t="s">
        <v>115</v>
      </c>
      <c r="I114" s="2" t="s">
        <v>279</v>
      </c>
      <c r="J114" s="2" t="s">
        <v>352</v>
      </c>
      <c r="K114" s="2" t="s">
        <v>353</v>
      </c>
      <c r="L114" s="7" t="s">
        <v>354</v>
      </c>
      <c r="M114" s="5">
        <f>practice_data_belgium_final[[#This Row],[Lap Time]] - Param_estimation!$H$5 + (practice_data_belgium_final[[#This Row],[Lap]]-1)*Param_estimation!$H$7</f>
        <v>93.438187350000007</v>
      </c>
      <c r="N114">
        <f>I113-practice_data_belgium_final[[#This Row],[Fuel]]</f>
        <v>-23.592896593883992</v>
      </c>
    </row>
    <row r="115" spans="1:14" x14ac:dyDescent="0.3">
      <c r="A115" s="2" t="s">
        <v>351</v>
      </c>
      <c r="B115" s="2" t="s">
        <v>36</v>
      </c>
      <c r="C115" s="2" t="s">
        <v>121</v>
      </c>
      <c r="D115" s="2" t="s">
        <v>38</v>
      </c>
      <c r="E115" s="2" t="s">
        <v>29</v>
      </c>
      <c r="F115" s="2" t="s">
        <v>122</v>
      </c>
      <c r="G115" s="2" t="s">
        <v>123</v>
      </c>
      <c r="H115" s="2" t="s">
        <v>115</v>
      </c>
      <c r="I115" s="2" t="s">
        <v>296</v>
      </c>
      <c r="J115" s="2" t="s">
        <v>355</v>
      </c>
      <c r="K115" s="2" t="s">
        <v>353</v>
      </c>
      <c r="L115" s="7" t="s">
        <v>356</v>
      </c>
      <c r="M115" s="5">
        <f>practice_data_belgium_final[[#This Row],[Lap Time]] - Param_estimation!$H$5 + (practice_data_belgium_final[[#This Row],[Lap]]-1)*Param_estimation!$H$7</f>
        <v>93.343625708969881</v>
      </c>
      <c r="N115">
        <f>I114-practice_data_belgium_final[[#This Row],[Fuel]]</f>
        <v>3.3704137991199872</v>
      </c>
    </row>
    <row r="116" spans="1:14" x14ac:dyDescent="0.3">
      <c r="A116" s="2" t="s">
        <v>351</v>
      </c>
      <c r="B116" s="2" t="s">
        <v>12</v>
      </c>
      <c r="C116" s="2" t="s">
        <v>121</v>
      </c>
      <c r="D116" s="2" t="s">
        <v>38</v>
      </c>
      <c r="E116" s="2" t="s">
        <v>29</v>
      </c>
      <c r="F116" s="2" t="s">
        <v>122</v>
      </c>
      <c r="G116" s="2" t="s">
        <v>123</v>
      </c>
      <c r="H116" s="2" t="s">
        <v>115</v>
      </c>
      <c r="I116" s="2" t="s">
        <v>299</v>
      </c>
      <c r="J116" s="2" t="s">
        <v>357</v>
      </c>
      <c r="K116" s="2" t="s">
        <v>353</v>
      </c>
      <c r="L116" s="7" t="s">
        <v>358</v>
      </c>
      <c r="M116" s="5">
        <f>practice_data_belgium_final[[#This Row],[Lap Time]] - Param_estimation!$H$5 + (practice_data_belgium_final[[#This Row],[Lap]]-1)*Param_estimation!$H$7</f>
        <v>93.019064067939738</v>
      </c>
      <c r="N116">
        <f>I115-practice_data_belgium_final[[#This Row],[Fuel]]</f>
        <v>3.3704137991300058</v>
      </c>
    </row>
    <row r="117" spans="1:14" x14ac:dyDescent="0.3">
      <c r="A117" s="2" t="s">
        <v>351</v>
      </c>
      <c r="B117" s="2" t="s">
        <v>44</v>
      </c>
      <c r="C117" s="2" t="s">
        <v>121</v>
      </c>
      <c r="D117" s="2" t="s">
        <v>38</v>
      </c>
      <c r="E117" s="2" t="s">
        <v>29</v>
      </c>
      <c r="F117" s="2" t="s">
        <v>122</v>
      </c>
      <c r="G117" s="2" t="s">
        <v>123</v>
      </c>
      <c r="H117" s="2" t="s">
        <v>115</v>
      </c>
      <c r="I117" s="2" t="s">
        <v>302</v>
      </c>
      <c r="J117" s="2" t="s">
        <v>359</v>
      </c>
      <c r="K117" s="2" t="s">
        <v>353</v>
      </c>
      <c r="L117" s="7" t="s">
        <v>360</v>
      </c>
      <c r="M117" s="5">
        <f>practice_data_belgium_final[[#This Row],[Lap Time]] - Param_estimation!$H$5 + (practice_data_belgium_final[[#This Row],[Lap]]-1)*Param_estimation!$H$7</f>
        <v>94.022502426919587</v>
      </c>
      <c r="N117">
        <f>I116-practice_data_belgium_final[[#This Row],[Fuel]]</f>
        <v>3.3704137991300058</v>
      </c>
    </row>
    <row r="118" spans="1:14" x14ac:dyDescent="0.3">
      <c r="A118" s="2" t="s">
        <v>351</v>
      </c>
      <c r="B118" s="2" t="s">
        <v>46</v>
      </c>
      <c r="C118" s="2" t="s">
        <v>121</v>
      </c>
      <c r="D118" s="2" t="s">
        <v>38</v>
      </c>
      <c r="E118" s="2" t="s">
        <v>29</v>
      </c>
      <c r="F118" s="2" t="s">
        <v>122</v>
      </c>
      <c r="G118" s="2" t="s">
        <v>123</v>
      </c>
      <c r="H118" s="2" t="s">
        <v>115</v>
      </c>
      <c r="I118" s="2" t="s">
        <v>305</v>
      </c>
      <c r="J118" s="2" t="s">
        <v>361</v>
      </c>
      <c r="K118" s="2" t="s">
        <v>353</v>
      </c>
      <c r="L118" s="7" t="s">
        <v>362</v>
      </c>
      <c r="M118" s="5">
        <f>practice_data_belgium_final[[#This Row],[Lap Time]] - Param_estimation!$H$5 + (practice_data_belgium_final[[#This Row],[Lap]]-1)*Param_estimation!$H$7</f>
        <v>93.01194078588945</v>
      </c>
      <c r="N118">
        <f>I117-practice_data_belgium_final[[#This Row],[Fuel]]</f>
        <v>3.3704137991200014</v>
      </c>
    </row>
    <row r="119" spans="1:14" x14ac:dyDescent="0.3">
      <c r="A119" s="2" t="s">
        <v>351</v>
      </c>
      <c r="B119" s="2" t="s">
        <v>33</v>
      </c>
      <c r="C119" s="2" t="s">
        <v>121</v>
      </c>
      <c r="D119" s="2" t="s">
        <v>38</v>
      </c>
      <c r="E119" s="2" t="s">
        <v>29</v>
      </c>
      <c r="F119" s="2" t="s">
        <v>122</v>
      </c>
      <c r="G119" s="2" t="s">
        <v>123</v>
      </c>
      <c r="H119" s="2" t="s">
        <v>115</v>
      </c>
      <c r="I119" s="2" t="s">
        <v>308</v>
      </c>
      <c r="J119" s="2" t="s">
        <v>363</v>
      </c>
      <c r="K119" s="2" t="s">
        <v>353</v>
      </c>
      <c r="L119" s="7" t="s">
        <v>364</v>
      </c>
      <c r="M119" s="5">
        <f>practice_data_belgium_final[[#This Row],[Lap Time]] - Param_estimation!$H$5 + (practice_data_belgium_final[[#This Row],[Lap]]-1)*Param_estimation!$H$7</f>
        <v>94.524379144859324</v>
      </c>
      <c r="N119">
        <f>I118-practice_data_belgium_final[[#This Row],[Fuel]]</f>
        <v>3.3704137991310006</v>
      </c>
    </row>
    <row r="120" spans="1:14" x14ac:dyDescent="0.3">
      <c r="A120" s="2" t="s">
        <v>351</v>
      </c>
      <c r="B120" s="2" t="s">
        <v>30</v>
      </c>
      <c r="C120" s="2" t="s">
        <v>121</v>
      </c>
      <c r="D120" s="2" t="s">
        <v>38</v>
      </c>
      <c r="E120" s="2" t="s">
        <v>29</v>
      </c>
      <c r="F120" s="2" t="s">
        <v>122</v>
      </c>
      <c r="G120" s="2" t="s">
        <v>123</v>
      </c>
      <c r="H120" s="2" t="s">
        <v>115</v>
      </c>
      <c r="I120" s="2" t="s">
        <v>311</v>
      </c>
      <c r="J120" s="2" t="s">
        <v>365</v>
      </c>
      <c r="K120" s="2" t="s">
        <v>353</v>
      </c>
      <c r="L120" s="7" t="s">
        <v>366</v>
      </c>
      <c r="M120" s="5">
        <f>practice_data_belgium_final[[#This Row],[Lap Time]] - Param_estimation!$H$5 + (practice_data_belgium_final[[#This Row],[Lap]]-1)*Param_estimation!$H$7</f>
        <v>94.217817503829181</v>
      </c>
      <c r="N120">
        <f>I119-practice_data_belgium_final[[#This Row],[Fuel]]</f>
        <v>3.3704137991259984</v>
      </c>
    </row>
    <row r="121" spans="1:14" x14ac:dyDescent="0.3">
      <c r="A121" s="2" t="s">
        <v>351</v>
      </c>
      <c r="B121" s="2" t="s">
        <v>61</v>
      </c>
      <c r="C121" s="2" t="s">
        <v>121</v>
      </c>
      <c r="D121" s="2" t="s">
        <v>38</v>
      </c>
      <c r="E121" s="2" t="s">
        <v>29</v>
      </c>
      <c r="F121" s="2" t="s">
        <v>122</v>
      </c>
      <c r="G121" s="2" t="s">
        <v>123</v>
      </c>
      <c r="H121" s="2" t="s">
        <v>115</v>
      </c>
      <c r="I121" s="2" t="s">
        <v>314</v>
      </c>
      <c r="J121" s="2" t="s">
        <v>367</v>
      </c>
      <c r="K121" s="2" t="s">
        <v>353</v>
      </c>
      <c r="L121" s="7" t="s">
        <v>368</v>
      </c>
      <c r="M121" s="5">
        <f>practice_data_belgium_final[[#This Row],[Lap Time]] - Param_estimation!$H$5 + (practice_data_belgium_final[[#This Row],[Lap]]-1)*Param_estimation!$H$7</f>
        <v>93.527255862799038</v>
      </c>
      <c r="N121">
        <f>I120-practice_data_belgium_final[[#This Row],[Fuel]]</f>
        <v>3.3704137991269931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06741-308B-4967-8223-F11A2211F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Param_estimation</vt:lpstr>
      <vt:lpstr>practice_data_belgium_final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haas</dc:creator>
  <cp:lastModifiedBy>Alexander haas</cp:lastModifiedBy>
  <dcterms:created xsi:type="dcterms:W3CDTF">2015-06-05T18:19:34Z</dcterms:created>
  <dcterms:modified xsi:type="dcterms:W3CDTF">2026-01-25T18:48:58Z</dcterms:modified>
</cp:coreProperties>
</file>